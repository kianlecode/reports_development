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2"/>
  <workbookPr defaultThemeVersion="166925"/>
  <mc:AlternateContent xmlns:mc="http://schemas.openxmlformats.org/markup-compatibility/2006">
    <mc:Choice Requires="x15">
      <x15ac:absPath xmlns:x15ac="http://schemas.microsoft.com/office/spreadsheetml/2010/11/ac" url="\\Mcr-fserver-04\vanhanh\qlkh\9. Quản lý Đối tác\I. THÔNG TIN CHUNG\19. PHÁT TRIỂN\1. Xuất báo cáo Quản lý đối tác\2. Phân quyền\"/>
    </mc:Choice>
  </mc:AlternateContent>
  <xr:revisionPtr revIDLastSave="0" documentId="13_ncr:1_{FCF60279-2FBA-4065-868B-C41488216E49}" xr6:coauthVersionLast="36" xr6:coauthVersionMax="36" xr10:uidLastSave="{00000000-0000-0000-0000-000000000000}"/>
  <bookViews>
    <workbookView xWindow="0" yWindow="0" windowWidth="28800" windowHeight="11805" firstSheet="1" xr2:uid="{C0776D75-40B5-437B-8A87-2F0D162622E6}"/>
  </bookViews>
  <sheets>
    <sheet name="Cover" sheetId="10" r:id="rId1"/>
    <sheet name="Change history" sheetId="11" r:id="rId2"/>
    <sheet name="Group User" sheetId="8" r:id="rId3"/>
    <sheet name="Permission Detail" sheetId="2" r:id="rId4"/>
    <sheet name="Report_permission" sheetId="9" r:id="rId5"/>
    <sheet name="List_Roles" sheetId="12" state="hidden" r:id="rId6"/>
    <sheet name="List User_Group User" sheetId="6" r:id="rId7"/>
  </sheets>
  <definedNames>
    <definedName name="_xlnm._FilterDatabase" localSheetId="6" hidden="1">'List User_Group User'!$B$2:$H$48</definedName>
    <definedName name="_xlnm.Print_Area" localSheetId="0">Cover!$B$1:$J$32</definedName>
    <definedName name="_xlnm.Print_Area" localSheetId="1">'Change history'!$A$1:$D$27</definedName>
    <definedName name="_xlnm.Print_Area" localSheetId="2">'Group User'!$A$1:$G$16</definedName>
    <definedName name="_xlnm.Print_Area" localSheetId="6">'List User_Group User'!$B$1:$I$48</definedName>
    <definedName name="_xlnm.Print_Area" localSheetId="3">'Permission Detail'!$A$1:$J$18</definedName>
    <definedName name="_xlnm.Print_Area" localSheetId="4">Report_permission!$A$1:$R$10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4" i="6" l="1"/>
  <c r="B45" i="6"/>
  <c r="B46" i="6"/>
  <c r="B47" i="6"/>
  <c r="B48" i="6"/>
  <c r="A5" i="2"/>
  <c r="A6" i="2"/>
  <c r="A7" i="2"/>
  <c r="A8" i="2"/>
  <c r="A9" i="2"/>
  <c r="A10" i="2"/>
  <c r="A11" i="2"/>
  <c r="A12" i="2"/>
  <c r="A13" i="2"/>
  <c r="A14" i="2"/>
  <c r="A15" i="2"/>
  <c r="B4" i="6" l="1"/>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8" i="9"/>
  <c r="B7" i="9"/>
  <c r="B6" i="9"/>
  <c r="B3" i="6" l="1"/>
  <c r="B5" i="9" l="1"/>
  <c r="A4" i="2"/>
  <c r="A4" i="8" l="1"/>
  <c r="A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tc={A7ACBD6D-486A-4073-9DF9-E8CCE602AD23}</author>
  </authors>
  <commentList>
    <comment ref="C6" authorId="0" shapeId="0" xr:uid="{A7ACBD6D-486A-4073-9DF9-E8CCE602AD23}">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Chỉnh sửa nội dung Group phù hợp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TRUNG_NGUYEN</author>
    <author>Nguyen Quoc Anh 2 (HO-TCKT)</author>
    <author>tc={C0E7C7A2-9209-4D7D-B385-599F68D0D3F4}</author>
  </authors>
  <commentList>
    <comment ref="C3" authorId="0" shapeId="0" xr:uid="{CFDABDA5-B2D4-4147-A1E4-6D6C83B2966E}">
      <text>
        <r>
          <rPr>
            <sz val="9"/>
            <color indexed="81"/>
            <rFont val="Tahoma"/>
            <family val="2"/>
          </rPr>
          <t>Xem toàn bộ thông tin trên báo cáo, nếu tick X ô này thì không điền Cấu phần ở View part</t>
        </r>
      </text>
    </comment>
    <comment ref="D3" authorId="1" shapeId="0" xr:uid="{BB185E2F-1B1B-454B-9F76-801FA3DF889D}">
      <text>
        <r>
          <rPr>
            <b/>
            <sz val="9"/>
            <color indexed="81"/>
            <rFont val="Tahoma"/>
            <family val="2"/>
          </rPr>
          <t>Nguyen Quoc Anh 2 (HO-TCKT):</t>
        </r>
        <r>
          <rPr>
            <sz val="9"/>
            <color indexed="81"/>
            <rFont val="Tahoma"/>
            <family val="2"/>
          </rPr>
          <t xml:space="preserve">
Trong trường hợp owner chỉ muốn cho group user xem một phần của nội dung báo cáo, điền cấu phần của báo cáo được xem theo nguyên tắc:
Tên báo cáo_Cấu phần
Các cấu phần không được khai báo sẽ không được xem. Không tick x vào View all nếu đã điền vào View part.
Ví dụ: 
1. Dashboard Customer AFC_Chart phân bổ địa lý nơi sống &lt;-- Chỉ được xem Chart phân bổ địa lý nơi sống.
2. Báo cáo jasper kết quả thu hồi nợ_Bảng Kết quả thu hồi nợ theo địa bàn_Cột Mã hồ sơ BPM, Số tiền đã thu. &lt;-- chỉ xem cột Mã hồ sơ BPM và số tiền đã thu trên bảng Kết quả thu hồi nợ.
</t>
        </r>
      </text>
    </comment>
    <comment ref="E3" authorId="0" shapeId="0" xr:uid="{D531CFB4-56F7-49EA-B589-1B09D34E2C0C}">
      <text>
        <r>
          <rPr>
            <sz val="9"/>
            <color indexed="81"/>
            <rFont val="Tahoma"/>
            <family val="2"/>
          </rPr>
          <t>Truy cập tới nguồn dữ liệu sử dụng cho báo cáo qua công cụ BI</t>
        </r>
      </text>
    </comment>
    <comment ref="F3" authorId="0" shapeId="0" xr:uid="{39616A94-D52F-4FA2-BAEF-3EC522B81117}">
      <text>
        <r>
          <rPr>
            <sz val="9"/>
            <color indexed="81"/>
            <rFont val="Tahoma"/>
            <family val="2"/>
          </rPr>
          <t>Xuất dữ liệu từ báo cáo</t>
        </r>
        <r>
          <rPr>
            <sz val="9"/>
            <color indexed="81"/>
            <rFont val="Tahoma"/>
            <family val="2"/>
          </rPr>
          <t xml:space="preserve">
</t>
        </r>
      </text>
    </comment>
    <comment ref="G3" authorId="0" shapeId="0" xr:uid="{0AE94C4C-8BFF-4AFA-B84A-7C11604AB9D2}">
      <text>
        <r>
          <rPr>
            <sz val="9"/>
            <color indexed="81"/>
            <rFont val="Tahoma"/>
            <family val="2"/>
          </rPr>
          <t xml:space="preserve">Chỉnh sửa báo cáo
</t>
        </r>
      </text>
    </comment>
    <comment ref="H3" authorId="0" shapeId="0" xr:uid="{C1F8B5DB-7EE6-4A64-8F87-BAF1F09979F3}">
      <text>
        <r>
          <rPr>
            <sz val="9"/>
            <color indexed="81"/>
            <rFont val="Tahoma"/>
            <family val="2"/>
          </rPr>
          <t xml:space="preserve">Golive báo cáo trên hệ thống
</t>
        </r>
      </text>
    </comment>
    <comment ref="I3" authorId="0" shapeId="0" xr:uid="{940FC172-DF4C-4813-8BEB-C7022D7D0070}">
      <text>
        <r>
          <rPr>
            <sz val="9"/>
            <color indexed="81"/>
            <rFont val="Tahoma"/>
            <family val="2"/>
          </rPr>
          <t>Hủy bỏ báo cáo đã tồn tại trên hệ thống</t>
        </r>
        <r>
          <rPr>
            <sz val="9"/>
            <color indexed="81"/>
            <rFont val="Tahoma"/>
            <family val="2"/>
          </rPr>
          <t xml:space="preserve">
</t>
        </r>
      </text>
    </comment>
    <comment ref="B7" authorId="2" shapeId="0" xr:uid="{C0E7C7A2-9209-4D7D-B385-599F68D0D3F4}">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Chỉnh sửa nội dung Group phù hợp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Nguyen Quoc Anh 2 (HO-TCKT)</author>
  </authors>
  <commentList>
    <comment ref="H2" authorId="0" shapeId="0" xr:uid="{76E17CCC-918B-4631-B74E-6DE360AE332C}">
      <text>
        <r>
          <rPr>
            <b/>
            <sz val="9"/>
            <color indexed="81"/>
            <rFont val="Tahoma"/>
            <family val="2"/>
          </rPr>
          <t>Nguyen Quoc Anh 2 (HO-TCKT):</t>
        </r>
        <r>
          <rPr>
            <sz val="9"/>
            <color indexed="81"/>
            <rFont val="Tahoma"/>
            <family val="2"/>
          </rPr>
          <t xml:space="preserve">
Điền ngày hết hạn (end date). Sau ngày này IT sẽ cắt quyền truy cập. Trường hợp cần xin thêm thời hạn thì update lại ngày hết hạn. Trường hợp để trống là không có thời hạn.</t>
        </r>
      </text>
    </comment>
  </commentList>
</comments>
</file>

<file path=xl/sharedStrings.xml><?xml version="1.0" encoding="utf-8"?>
<sst xmlns="http://schemas.openxmlformats.org/spreadsheetml/2006/main" count="463" uniqueCount="231">
  <si>
    <t>MA TRẬN PHÂN QUYỀN BÁO CÁO</t>
  </si>
  <si>
    <t>Version</t>
  </si>
  <si>
    <t>1</t>
  </si>
  <si>
    <t>Effective Date</t>
  </si>
  <si>
    <t>LỊCH SỬ CẬP NHẬT TÀI LIỆU/DOCUMENT UPDATE HISTORY</t>
  </si>
  <si>
    <r>
      <t xml:space="preserve">Ngày/ </t>
    </r>
    <r>
      <rPr>
        <b/>
        <i/>
        <sz val="10"/>
        <color rgb="FF000000"/>
        <rFont val="Be Vietnam Pro"/>
      </rPr>
      <t>Date</t>
    </r>
  </si>
  <si>
    <r>
      <t xml:space="preserve">Phiên bản/ </t>
    </r>
    <r>
      <rPr>
        <b/>
        <i/>
        <sz val="10"/>
        <color rgb="FF000000"/>
        <rFont val="Be Vietnam Pro"/>
      </rPr>
      <t>Version</t>
    </r>
  </si>
  <si>
    <t>Ghi chú/ Thay đổi</t>
  </si>
  <si>
    <t>Người viết/ Creator</t>
  </si>
  <si>
    <t>Tạo mới</t>
  </si>
  <si>
    <t>TỔNG QUAN VỀ NHÓM NGƯỜI DÙNG PHÂN QUYỀN/USER GROUP PERMISSION OVERVIEW</t>
  </si>
  <si>
    <t>STT</t>
  </si>
  <si>
    <t>Group type</t>
  </si>
  <si>
    <t>Group User</t>
  </si>
  <si>
    <t xml:space="preserve">Mô tả </t>
  </si>
  <si>
    <t xml:space="preserve">Áp dụng </t>
  </si>
  <si>
    <t xml:space="preserve">Hình thức cấp quyền </t>
  </si>
  <si>
    <t>Mặc định, áp dụng cho toàn bộ MTPQ. 
Các nhóm này không thay đổi</t>
  </si>
  <si>
    <t>G_Owner_Manager</t>
  </si>
  <si>
    <t>Group dành cho đơn vị sở hữu báo cáo, đưa ra yêu cầu phát triển báo cáo quản trị.</t>
  </si>
  <si>
    <t>Cấp quyền khi báo cáo được golive.</t>
  </si>
  <si>
    <t>G_Operation</t>
  </si>
  <si>
    <r>
      <t xml:space="preserve">Dành cho Phòng Vận hành ứng dụng và Cơ sở dữ liệu - Trung tâm An ninh và Vận hành CNTT -  Khối CNTT
</t>
    </r>
    <r>
      <rPr>
        <b/>
        <sz val="11"/>
        <rFont val="Arial"/>
        <family val="2"/>
        <scheme val="minor"/>
      </rPr>
      <t xml:space="preserve">Chức danh: </t>
    </r>
    <r>
      <rPr>
        <sz val="11"/>
        <rFont val="Arial"/>
        <family val="2"/>
        <scheme val="minor"/>
      </rPr>
      <t xml:space="preserve">
+ Chuyên viên cao cấp Vận hành ứng dụng
+ Chuyên viên Vận hành ứng dụng</t>
    </r>
  </si>
  <si>
    <t>Theo xác nhận của owner và phòng DGD.</t>
  </si>
  <si>
    <t>G_Governance</t>
  </si>
  <si>
    <t>Group dành cho đơn vị quản trị dữ liệu thu thập chỉ tiêu trên báo cáo.</t>
  </si>
  <si>
    <r>
      <t xml:space="preserve">Dành cho Phòng Quản trị dữ liệu - Trung tâm Dữ liệu lớn - Khối CNTT
</t>
    </r>
    <r>
      <rPr>
        <b/>
        <sz val="11"/>
        <rFont val="Arial"/>
        <family val="2"/>
        <scheme val="minor"/>
      </rPr>
      <t>Chức danh:</t>
    </r>
    <r>
      <rPr>
        <sz val="11"/>
        <rFont val="Arial"/>
        <family val="2"/>
        <scheme val="minor"/>
      </rPr>
      <t xml:space="preserve">
+ Giám đốc Quản trị dữ liệu
+ Chuyên viên cao cấp Quản trị dữ liệu
+ Chuyên viên Quản trị dữ liệu</t>
    </r>
  </si>
  <si>
    <t>Dành cho đơn vị khác mà G_Owner_Manager cho phép truy cập. Owner chủ động cập nhật.</t>
  </si>
  <si>
    <t>G_Maintainance</t>
  </si>
  <si>
    <r>
      <t xml:space="preserve">Dành cho Phòng Phát triển báo cáo và học máy - Trung tâm Dữ liệu lớn - Khối CNTT
</t>
    </r>
    <r>
      <rPr>
        <b/>
        <sz val="11"/>
        <rFont val="Arial"/>
        <family val="2"/>
        <scheme val="minor"/>
      </rPr>
      <t xml:space="preserve">Chức danh: </t>
    </r>
    <r>
      <rPr>
        <sz val="11"/>
        <rFont val="Arial"/>
        <family val="2"/>
        <scheme val="minor"/>
      </rPr>
      <t xml:space="preserve">
+ Giám đốc Phát triển báo cáo và học máy
+ Chuyên gia triển báo cáo và học máy
+ Chuyên viên cao cấp phát triển báo cáo và Học máy
+ Chuyên viên phát triển báo cáo và Học máy</t>
    </r>
  </si>
  <si>
    <t>CHI TIẾT QUYỀN CỦA CÁC NHÓM NGƯỜI DÙNG/DETAIL OF USER GROUP RIGHTS</t>
  </si>
  <si>
    <t>Roles</t>
  </si>
  <si>
    <t>View All</t>
  </si>
  <si>
    <t>View Part
(Điền cấu phần báo cáo)</t>
  </si>
  <si>
    <t>Connect Data Source</t>
  </si>
  <si>
    <t>Export Data</t>
  </si>
  <si>
    <t>Edit</t>
  </si>
  <si>
    <t>Publish</t>
  </si>
  <si>
    <t>Remove</t>
  </si>
  <si>
    <t>x</t>
  </si>
  <si>
    <t>DANH SÁCH BÁO CÁO CẦN PHÂN QUYỀN/ LIST OF REPORTS THAT NEED AUTHORIZED</t>
  </si>
  <si>
    <t>Chỉ áp dụng trong trường hợp đơn vị muốn phân quyền cho nhiều báo cáo trong cùng một MTPQ, nếu chỉ có một báo cáo đơn vị không cần điền vào sheet này</t>
  </si>
  <si>
    <t>Report Information</t>
  </si>
  <si>
    <t>Report App</t>
  </si>
  <si>
    <t>Report type</t>
  </si>
  <si>
    <t>Report name</t>
  </si>
  <si>
    <t>Dashboard</t>
  </si>
  <si>
    <t>G_Business_DED</t>
  </si>
  <si>
    <t>G_Business_RMD</t>
  </si>
  <si>
    <t>G_Business_CD</t>
  </si>
  <si>
    <t>DANH SÁCH CHI TIẾT NGƯỜI DÙNG CỦA TỪNG NHÓM/LIST OF USERS BY GROUP</t>
  </si>
  <si>
    <t>User</t>
  </si>
  <si>
    <t>Name</t>
  </si>
  <si>
    <t>Chức danh</t>
  </si>
  <si>
    <t>Division</t>
  </si>
  <si>
    <t>Ngày hết hạn</t>
  </si>
  <si>
    <t>Note</t>
  </si>
  <si>
    <t>G_Owner_Manager </t>
  </si>
  <si>
    <t>N/A</t>
  </si>
  <si>
    <t>thangpd2.ho</t>
  </si>
  <si>
    <t>Phạm Đinh Thắng </t>
  </si>
  <si>
    <t>Giám đốc Phát triển báo cáo và Học máy </t>
  </si>
  <si>
    <t>Phòng Phát triển báo cáo và Học máy - Trung tâm Dữ liệu lớn - Khối Công nghệ thông tin </t>
  </si>
  <si>
    <t>G_Maintainance </t>
  </si>
  <si>
    <t>namht.ho </t>
  </si>
  <si>
    <t>Hoàng Thái Nam </t>
  </si>
  <si>
    <t>Chuyên viên Quản trị dữ liệu </t>
  </si>
  <si>
    <t>Phòng Quản trị dữ liệu - Trung tâm Dữ liệu lớn - Khối Công nghệ thông tin </t>
  </si>
  <si>
    <t>G_Governance </t>
  </si>
  <si>
    <t>tanlh.ho </t>
  </si>
  <si>
    <t>Lê Huy Tân </t>
  </si>
  <si>
    <t>Chuyên viên Vận hành ứng dụng </t>
  </si>
  <si>
    <t>Phòng Vận hành ứng dụng và Cơ sở dữ liệu - Trung tâm An ninh và Vận hành CNTT - Khối Công nghệ thông tin </t>
  </si>
  <si>
    <t>G_Operation </t>
  </si>
  <si>
    <t>namhv.ho </t>
  </si>
  <si>
    <t>Hà Văn Nam </t>
  </si>
  <si>
    <t>Jasper Report</t>
  </si>
  <si>
    <t>linhnt9.ho</t>
  </si>
  <si>
    <t>Nguyễn Thùy Linh</t>
  </si>
  <si>
    <t>Phó Giám đốc Nghiệp vụ giao dịch</t>
  </si>
  <si>
    <t>Phòng Nghiệp vụ giao dịch - Khối Vận hành</t>
  </si>
  <si>
    <t>quentk.ho</t>
  </si>
  <si>
    <t>Ngô Thị Kim Quế</t>
  </si>
  <si>
    <t>Kiểm soát viên Hỗ trợ nguồn vốn</t>
  </si>
  <si>
    <t>Chuyên viên Hỗ trợ nguồn vốn</t>
  </si>
  <si>
    <t>huongttm1.ho</t>
  </si>
  <si>
    <t>Trịnh Thị Mai Hương</t>
  </si>
  <si>
    <t>Học viên nghề - Thực tập sinh Nghiệp vụ giao dịch</t>
  </si>
  <si>
    <t>phuongtm1.ho</t>
  </si>
  <si>
    <t>Trần Mai Phương</t>
  </si>
  <si>
    <t>Phòng Quản trị và cải tiến vận hành - Khối Vận hành</t>
  </si>
  <si>
    <t>chuyennt.ho</t>
  </si>
  <si>
    <t>Nguyễn Thị Chuyện</t>
  </si>
  <si>
    <t>G_Business_OP</t>
  </si>
  <si>
    <t>Chuyên viên cao cấp Quản trị và cải tiến vận hành</t>
  </si>
  <si>
    <t>Theo xác nhận của owner</t>
  </si>
  <si>
    <t>Chuyên viên Quản lý đối tác</t>
  </si>
  <si>
    <t>minhpn1.tt</t>
  </si>
  <si>
    <t>Phan Nhật Minh</t>
  </si>
  <si>
    <t xml:space="preserve">Group dành cho đơn vị IT chịu trách nhiệm vận hành báo cáo, hỗ trợ các đơn vị.
</t>
  </si>
  <si>
    <r>
      <t xml:space="preserve">Dành cho user Khối vận hành
</t>
    </r>
    <r>
      <rPr>
        <b/>
        <sz val="11"/>
        <color rgb="FF000000"/>
        <rFont val="Arial"/>
        <family val="2"/>
      </rPr>
      <t xml:space="preserve">
Chức danh:</t>
    </r>
    <r>
      <rPr>
        <sz val="11"/>
        <color rgb="FF000000"/>
        <rFont val="Arial"/>
        <family val="2"/>
      </rPr>
      <t xml:space="preserve">
+ Kiểm soát viên Hỗ trợ nguồn vốn
+ Chuyên viên cao cấp Quản trị và cải tiến vận hành
+ Chuyên viên Hỗ trợ nguồn vốn
+ Chuyên viên Quản lý đối tác
+ Học viên nghề - Thực tập sinh Nghiệp vụ giao dịch
</t>
    </r>
  </si>
  <si>
    <t>G_Business_CVP01</t>
  </si>
  <si>
    <t>G_Business_CVP02</t>
  </si>
  <si>
    <t>Dành cho user Khối Phát triển giá trị khách hàng - Marketing:
+ Chuyên viên Phân tích dữ liệu
+ Chuyên viên cao cấp Phân tích dữ liệu</t>
  </si>
  <si>
    <t>G_Business_LBD</t>
  </si>
  <si>
    <t>G_Business_PCTT</t>
  </si>
  <si>
    <t>Group dành cho Khối CVP - Marketing được sử dụng thông tin trên báo cáo để upload điểm tư vấn bán hàng SIP/POS lên website của MC</t>
  </si>
  <si>
    <t xml:space="preserve">Group dành cho nhóm cán bộ nghiệp vụ của Khối CVP sử dụng thông tin để Phân tích dữ liệu đối tác
</t>
  </si>
  <si>
    <t>Group dành cho Khối LBD, Khối kinh doanh trực tiếp phát triển nhóm đối tác, sử dụng thông tin trên báo cáo để:
+ Quản lý đối tác
+ Đánh giá hiệu quả hợp tác
+ Theo dõi, tính toán, kiểm soát chính sách hoa hồng áp dụng với đối tác
+ Xây dựng, phát triển kế hoạch/chiến lược kinh doanh</t>
  </si>
  <si>
    <t>Group dành cho cán bộ nghiệp pháp chế tuân thủ sử dụng dữ liệu trên báo cáo để đánh giá, kiểm soát rủi ro về mặt pháp lý, tuân thủ</t>
  </si>
  <si>
    <t>G_Business_QTRR</t>
  </si>
  <si>
    <t>Group dành cho cán bộ nghiệp vụ rủi ro sử dụng thông tin trên báo cáo để theo dõi, đánh giá, kiểm soát, cảnh báo rủi ro tập trung</t>
  </si>
  <si>
    <t>G_Business_TCKT</t>
  </si>
  <si>
    <t>Group dành cho cán bộ nghiệp vụ tài chính kế toán sử dụng thông tin trên báo cáo để tính toán và chi trả hoa hồng</t>
  </si>
  <si>
    <t>Group dành cho cán bộ nghiệp vụ thực hiện view và sử dụng toàn bộ báo cáo.
Chức năng: Theo dõi báo cáo để đảm bảo tính kịp thời và chính xác khi có vấn đề phát sinh xảy ra</t>
  </si>
  <si>
    <t>Group dành cho nhóm cán bộ nghiệp vụ được sử dụng thông tin trên báo cáo để:
+ Thực hiện theo dõi, kiểm soát thông tin đối tác
+ Xử lý các nghiệp vụ phát sinh liên quan đến hoạt động quản lý đối tác
Chức năng: View toàn bộ báo cáo</t>
  </si>
  <si>
    <t>Báo cáo Partner</t>
  </si>
  <si>
    <t>Báo cáo chi tiết SIP/POS đối tác</t>
  </si>
  <si>
    <t>Báo cáo danh sách SIP/POS</t>
  </si>
  <si>
    <t>Báo cáo danh sách điểm tư vấn bán hàng</t>
  </si>
  <si>
    <t>linhtht.tt</t>
  </si>
  <si>
    <t>Trịnh Hoàng Tú Linh</t>
  </si>
  <si>
    <t>thuongpth.ho</t>
  </si>
  <si>
    <t>Phạm Thị Huyền Thương</t>
  </si>
  <si>
    <t>phuongpt1.ho</t>
  </si>
  <si>
    <t>tamntt.ho</t>
  </si>
  <si>
    <t>lienvt.ho</t>
  </si>
  <si>
    <t>phuongnm.ho</t>
  </si>
  <si>
    <t>Phí Thị Phượng</t>
  </si>
  <si>
    <t>Nguyễn Thị Thanh Tâm</t>
  </si>
  <si>
    <t>Vũ Thị Liên</t>
  </si>
  <si>
    <t>Nguyễn Minh Phương</t>
  </si>
  <si>
    <t>huedh.ho</t>
  </si>
  <si>
    <t>Đỗ Hồng Huệ</t>
  </si>
  <si>
    <t>Chuyên viên cao cấp Thương hiệu</t>
  </si>
  <si>
    <t>Phòng Thương hiệu – Trung tâm thúc đẩy thương hiệu và kinh doanh – Khối Phát triển giá trị khách hàng</t>
  </si>
  <si>
    <t>tungtt.ho</t>
  </si>
  <si>
    <t>Trịnh Thanh Tùng</t>
  </si>
  <si>
    <t>Chuyên viên cao cấp Giải pháp kinh doanh</t>
  </si>
  <si>
    <t>Phòng Giải pháp kinh doanh - Trung tâm thúc đẩy thương hiệu và kinh doanh – Khối Phát triển giá trị khách hàng</t>
  </si>
  <si>
    <t>Nhatvha.ho</t>
  </si>
  <si>
    <t>Vũ Hà Anh Nhật</t>
  </si>
  <si>
    <t>Chuyên gia Giải pháp kinh doanh</t>
  </si>
  <si>
    <t>Ngoclm1.ho</t>
  </si>
  <si>
    <t>Lương Minh Ngọc</t>
  </si>
  <si>
    <t>Chuyên viên Phân tích dữ liệu</t>
  </si>
  <si>
    <t xml:space="preserve">Phòng Phân tích dữ liệu – Khối Phát triển giá trị khách hàng </t>
  </si>
  <si>
    <t>Huydx.ho</t>
  </si>
  <si>
    <t>Đặng Xuân Huy</t>
  </si>
  <si>
    <t>Chuyên viên cao cấp Phân tích dữ liệu</t>
  </si>
  <si>
    <t>khoalpa.ho</t>
  </si>
  <si>
    <t>Lê Phạm Anh Khoa</t>
  </si>
  <si>
    <t>Chuyên gia Quản lý kinh doanh</t>
  </si>
  <si>
    <t>Phòng Quản lý kinh doanh và Phát triển ngành hàng - LBD</t>
  </si>
  <si>
    <t>namnnv.ho</t>
  </si>
  <si>
    <t>Nguyễn Ngô Việt Nam</t>
  </si>
  <si>
    <t>Chuyên viên Hỗ trợ hoạt động</t>
  </si>
  <si>
    <t>thinhlv1.cs</t>
  </si>
  <si>
    <t>Lê Văn Thịnh</t>
  </si>
  <si>
    <t>Chuyên Gia Quản lý Kinh doanh</t>
  </si>
  <si>
    <t>maittna.ho</t>
  </si>
  <si>
    <t>Trần Thị Ngọc Ánh Mai</t>
  </si>
  <si>
    <t>Chuyên viên cao cấp Quản lý kinh doanh</t>
  </si>
  <si>
    <t>yentth.ho</t>
  </si>
  <si>
    <t>Trần Thị Hải Yến</t>
  </si>
  <si>
    <t>hienvtt.ho</t>
  </si>
  <si>
    <t>Vũ Thị Thu Hiền</t>
  </si>
  <si>
    <t>anhnv5.ho</t>
  </si>
  <si>
    <t>Nguyễn Việt Anh</t>
  </si>
  <si>
    <t>minhl.ho</t>
  </si>
  <si>
    <t>Lê Minh</t>
  </si>
  <si>
    <t>Chuyên viên Quản lý kinh doanh</t>
  </si>
  <si>
    <t>nguyenntt.ho</t>
  </si>
  <si>
    <t>Nguyễn Thị Tố Nguyên</t>
  </si>
  <si>
    <t>hoapt1.ho</t>
  </si>
  <si>
    <t>Phạm Thị Hoa</t>
  </si>
  <si>
    <t>binhvtt.ho</t>
  </si>
  <si>
    <t>Vũ Thị Thanh Bình</t>
  </si>
  <si>
    <t>hoatv.ho</t>
  </si>
  <si>
    <t>Trần Văn Hòa</t>
  </si>
  <si>
    <t>mynt.ho</t>
  </si>
  <si>
    <t>Ngô Trà My</t>
  </si>
  <si>
    <t xml:space="preserve">Chuyên viên Hỗ trợ hoạt động </t>
  </si>
  <si>
    <t>thunt5.ho</t>
  </si>
  <si>
    <t>Nguyễn Thị Thu</t>
  </si>
  <si>
    <t>cuongtd1.ho</t>
  </si>
  <si>
    <t>Trần Đức Cường</t>
  </si>
  <si>
    <t>Chuyên viên Quản lý Kinh doanh</t>
  </si>
  <si>
    <t>huypq.ho</t>
  </si>
  <si>
    <t>Phan Quang Huy</t>
  </si>
  <si>
    <t>hadtn.ho</t>
  </si>
  <si>
    <t>Đoàn Thị Nguyệt Hà</t>
  </si>
  <si>
    <t>Thuynt4.ho</t>
  </si>
  <si>
    <t>Nguyễn Thị Thúy</t>
  </si>
  <si>
    <t>Chuyên gia Tuân thủ và Điều tra</t>
  </si>
  <si>
    <t xml:space="preserve">Phòng Tuân thủ và Điều tra- Khối PCTT </t>
  </si>
  <si>
    <t>Quocth.ho</t>
  </si>
  <si>
    <t>Trương Hữu Quốc</t>
  </si>
  <si>
    <t>Chuyên viên cao cấp Tuân thủ và Điều tra</t>
  </si>
  <si>
    <t>Phòng Tuân thủ và Điều tra- Khối PCTT</t>
  </si>
  <si>
    <t>Hautt.ho</t>
  </si>
  <si>
    <t>Trần Trung Hậu</t>
  </si>
  <si>
    <t>Chuyên Viên Quản Trị Danh Mục</t>
  </si>
  <si>
    <t>Phòng QTDM – Trung Tâm QTRR Tín dụng – Khối QTRR</t>
  </si>
  <si>
    <t>Hoantd.ho</t>
  </si>
  <si>
    <t>Đặng Trần Hoàn</t>
  </si>
  <si>
    <t>Chuyên Gia Quản Trị Danh Mục</t>
  </si>
  <si>
    <t>Phuongdt6.ho</t>
  </si>
  <si>
    <t>Đỗ Thu Phương</t>
  </si>
  <si>
    <t>Minhlt1.ho</t>
  </si>
  <si>
    <t>Lê Tuấn Minh</t>
  </si>
  <si>
    <t>Chuyên viên Tài chính Kinh doanh</t>
  </si>
  <si>
    <t>Khối Tài chính Kế toán</t>
  </si>
  <si>
    <t>anhnm2.ho</t>
  </si>
  <si>
    <t>Nguyễn Mai Anh</t>
  </si>
  <si>
    <t>&lt;BÁO CÁO PARTNER&gt;
&lt;BÁO CÁO CHI TIẾT SIP/POS ĐỐI TÁC&gt;
&lt;BÁO CÁO DANH SÁCH SIP/POS&gt;
&lt;BÁO CÁO DANH SÁCH ĐIỂM TƯ VẤN BÁN HÀNG&gt;</t>
  </si>
  <si>
    <r>
      <rPr>
        <b/>
        <sz val="12"/>
        <color rgb="FF000000"/>
        <rFont val="Arial"/>
        <family val="2"/>
      </rPr>
      <t xml:space="preserve">MB SHINSEI CONSUMER CREDIT FINANCE LIMITED LIABILITY COMPANY (MS Finance)
</t>
    </r>
    <r>
      <rPr>
        <sz val="12"/>
        <color rgb="FF000000"/>
        <rFont val="Arial"/>
        <family val="2"/>
      </rPr>
      <t>Addess: Floor no.9,10,11,12, MB Building, 21 Cat Linh, O Cho Dua Ward, Ha Noi
Tel: (024) 710 86 888                                   Website: www.mcredit.com.vn</t>
    </r>
  </si>
  <si>
    <t>G_Business_VPCT</t>
  </si>
  <si>
    <t>quangtd.ho</t>
  </si>
  <si>
    <t>Trần Duy Quang</t>
  </si>
  <si>
    <t>Chuyên viên Trang bị và mạng lưới</t>
  </si>
  <si>
    <t>Phòng DVNB – Văn Phòng Công ty</t>
  </si>
  <si>
    <t>Group dành cho cán bộ nghiệp vụ quản lý trang thiết bị của MC tại các điểm bán hàng của đối tác</t>
  </si>
  <si>
    <r>
      <t xml:space="preserve">Dành cho user Khối Phát triển giá trị khách hàng - Marketing:
</t>
    </r>
    <r>
      <rPr>
        <b/>
        <sz val="11"/>
        <rFont val="Arial"/>
        <family val="2"/>
        <scheme val="minor"/>
      </rPr>
      <t>Chức danh:</t>
    </r>
    <r>
      <rPr>
        <sz val="11"/>
        <rFont val="Arial"/>
        <family val="2"/>
        <scheme val="minor"/>
      </rPr>
      <t xml:space="preserve">
+ Chuyên viên cao cấp Thương hiệu
+ Chuyên viên cao cấp Giải pháp kinh doanh
+ Chuyên gia Giải pháp kinh doanh</t>
    </r>
  </si>
  <si>
    <r>
      <t xml:space="preserve">Dành cho user Khối Kinh doanh thị trường:
</t>
    </r>
    <r>
      <rPr>
        <b/>
        <sz val="11"/>
        <rFont val="Arial"/>
        <family val="2"/>
        <scheme val="minor"/>
      </rPr>
      <t>Chức danh:</t>
    </r>
    <r>
      <rPr>
        <sz val="11"/>
        <rFont val="Arial"/>
        <family val="2"/>
        <scheme val="minor"/>
      </rPr>
      <t xml:space="preserve">
+ Chuyên gia Quản lý kinh doanh
+ Chuyên viên cao cấp Quản lý kinh doanh
+ Chuyên viên Hỗ trợ hoạt động
+ Chuyên viên Quản lý kinh doanh</t>
    </r>
  </si>
  <si>
    <r>
      <t xml:space="preserve">Dành cho user Khối Pháp chế Tuân thủ:
</t>
    </r>
    <r>
      <rPr>
        <b/>
        <sz val="11"/>
        <rFont val="Arial"/>
        <family val="2"/>
        <scheme val="minor"/>
      </rPr>
      <t>Chức danh:</t>
    </r>
    <r>
      <rPr>
        <sz val="11"/>
        <rFont val="Arial"/>
        <family val="2"/>
        <scheme val="minor"/>
      </rPr>
      <t xml:space="preserve">
+ Chuyên gia Tuân thủ và Điều tra
+ Chuyên viên cao cấp Tuân thủ và Điều tra</t>
    </r>
  </si>
  <si>
    <r>
      <t xml:space="preserve">Dành cho user Khối Quản trị rủi ro:
</t>
    </r>
    <r>
      <rPr>
        <b/>
        <sz val="11"/>
        <rFont val="Arial"/>
        <family val="2"/>
        <scheme val="minor"/>
      </rPr>
      <t>Chức danh:</t>
    </r>
    <r>
      <rPr>
        <sz val="11"/>
        <rFont val="Arial"/>
        <family val="2"/>
        <scheme val="minor"/>
      </rPr>
      <t xml:space="preserve">
+ Chuyên Gia Quản Trị Danh Mục
+ Chuyên Viên Quản Trị Danh Mục</t>
    </r>
  </si>
  <si>
    <r>
      <t xml:space="preserve">Dành cho user Khối Tài chính Kế toán:
</t>
    </r>
    <r>
      <rPr>
        <b/>
        <sz val="11"/>
        <rFont val="Arial"/>
        <family val="2"/>
        <scheme val="minor"/>
      </rPr>
      <t>Chức danh:</t>
    </r>
    <r>
      <rPr>
        <sz val="11"/>
        <rFont val="Arial"/>
        <family val="2"/>
        <scheme val="minor"/>
      </rPr>
      <t xml:space="preserve">
+ Chuyên viên Tài chính Kinh doanh</t>
    </r>
  </si>
  <si>
    <r>
      <t xml:space="preserve">Dành cho user Văn phòng công ty:
</t>
    </r>
    <r>
      <rPr>
        <b/>
        <sz val="11"/>
        <rFont val="Arial"/>
        <family val="2"/>
        <scheme val="minor"/>
      </rPr>
      <t>Chức danh:</t>
    </r>
    <r>
      <rPr>
        <sz val="11"/>
        <rFont val="Arial"/>
        <family val="2"/>
        <scheme val="minor"/>
      </rPr>
      <t xml:space="preserve">
+ Chuyên viên Trang bị và mạng lưới</t>
    </r>
  </si>
  <si>
    <r>
      <t xml:space="preserve">Dành cho Giám đốc/Phó Giám đốc Nghiệp vụ giao dịch - Khối vận hành
</t>
    </r>
    <r>
      <rPr>
        <b/>
        <sz val="11"/>
        <rFont val="Arial"/>
        <family val="2"/>
        <scheme val="minor"/>
      </rPr>
      <t xml:space="preserve">Chức danh: </t>
    </r>
    <r>
      <rPr>
        <sz val="11"/>
        <rFont val="Arial"/>
        <family val="2"/>
        <scheme val="minor"/>
      </rPr>
      <t xml:space="preserve">
Phó Giám đốc Nghiệp vụ giao dịch</t>
    </r>
  </si>
  <si>
    <t>Chuyên viên Hỗ trợ tín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</si>
</sst>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6" x14ac:knownFonts="1">
    <font>
      <sz val="11"/>
      <color theme="1"/>
      <name val="Arial"/>
      <family val="2"/>
      <scheme val="minor"/>
    </font>
    <font>
      <sz val="11"/>
      <color theme="1"/>
      <name val="Arial"/>
      <family val="2"/>
      <charset val="163"/>
      <scheme val="minor"/>
    </font>
    <font>
      <sz val="9"/>
      <color indexed="81"/>
      <name val="Tahoma"/>
      <family val="2"/>
    </font>
    <font>
      <b/>
      <sz val="9"/>
      <color indexed="81"/>
      <name val="Tahoma"/>
      <family val="2"/>
    </font>
    <font>
      <sz val="11"/>
      <name val="Calibri"/>
      <family val="2"/>
    </font>
    <font>
      <sz val="11"/>
      <color rgb="FFFF0000"/>
      <name val="Arial"/>
      <family val="2"/>
      <scheme val="minor"/>
    </font>
    <font>
      <b/>
      <sz val="11"/>
      <name val="Arial"/>
      <family val="2"/>
      <scheme val="minor"/>
    </font>
    <font>
      <sz val="11"/>
      <name val="Arial"/>
      <family val="2"/>
      <scheme val="minor"/>
    </font>
    <font>
      <b/>
      <sz val="11"/>
      <color theme="0"/>
      <name val="Arial"/>
      <family val="2"/>
      <scheme val="minor"/>
    </font>
    <font>
      <b/>
      <sz val="11"/>
      <color theme="1"/>
      <name val="Arial"/>
      <family val="2"/>
      <scheme val="minor"/>
    </font>
    <font>
      <b/>
      <sz val="10"/>
      <color rgb="FF000000"/>
      <name val="Be Vietnam Pro"/>
    </font>
    <font>
      <b/>
      <i/>
      <sz val="10"/>
      <color rgb="FF000000"/>
      <name val="Be Vietnam Pro"/>
    </font>
    <font>
      <sz val="10"/>
      <color theme="1"/>
      <name val="Be Vietnam Pro"/>
    </font>
    <font>
      <sz val="12"/>
      <color rgb="FF000000"/>
      <name val="Arial"/>
      <family val="2"/>
    </font>
    <font>
      <b/>
      <sz val="12"/>
      <color rgb="FF000000"/>
      <name val="Arial"/>
      <family val="2"/>
    </font>
    <font>
      <sz val="10"/>
      <color rgb="FF000000"/>
      <name val="Arial"/>
      <family val="2"/>
    </font>
    <font>
      <b/>
      <sz val="24"/>
      <color rgb="FF000000"/>
      <name val="Arial"/>
      <family val="2"/>
    </font>
    <font>
      <b/>
      <sz val="20"/>
      <color rgb="FF000000"/>
      <name val="Arial"/>
      <family val="2"/>
    </font>
    <font>
      <b/>
      <sz val="12"/>
      <color rgb="FF800000"/>
      <name val="Arial"/>
      <family val="2"/>
    </font>
    <font>
      <sz val="10"/>
      <name val="Arial"/>
      <family val="2"/>
    </font>
    <font>
      <i/>
      <sz val="11"/>
      <color theme="1"/>
      <name val="Arial"/>
      <family val="2"/>
      <scheme val="minor"/>
    </font>
    <font>
      <sz val="12"/>
      <color rgb="FF212529"/>
      <name val="Arial"/>
      <family val="2"/>
      <scheme val="minor"/>
    </font>
    <font>
      <sz val="11"/>
      <color rgb="FF000000"/>
      <name val="Arial"/>
      <family val="2"/>
    </font>
    <font>
      <sz val="11"/>
      <color rgb="FF000000"/>
      <name val="Arial"/>
      <family val="2"/>
    </font>
    <font>
      <sz val="11"/>
      <color rgb="FF000000"/>
      <name val="Arial"/>
      <family val="2"/>
    </font>
    <font>
      <b/>
      <sz val="11"/>
      <color rgb="FF000000"/>
      <name val="Arial"/>
      <family val="2"/>
    </font>
  </fonts>
  <fills count="9">
    <fill>
      <patternFill patternType="none"/>
    </fill>
    <fill>
      <patternFill patternType="gray125"/>
    </fill>
    <fill>
      <patternFill patternType="solid">
        <fgColor theme="4"/>
        <bgColor theme="4"/>
      </patternFill>
    </fill>
    <fill>
      <patternFill patternType="solid">
        <fgColor theme="4" tint="0.59999389629810485"/>
        <bgColor indexed="64"/>
      </patternFill>
    </fill>
    <fill>
      <patternFill patternType="solid">
        <fgColor theme="0"/>
        <bgColor indexed="64"/>
      </patternFill>
    </fill>
    <fill>
      <patternFill patternType="solid">
        <fgColor theme="0"/>
        <bgColor rgb="FFFFFFFF"/>
      </patternFill>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indexed="64"/>
      </left>
      <right/>
      <top/>
      <bottom/>
      <diagonal/>
    </border>
    <border>
      <left style="thin">
        <color rgb="FF000000"/>
      </left>
      <right style="thin">
        <color auto="1"/>
      </right>
      <top/>
      <bottom style="thin">
        <color auto="1"/>
      </bottom>
      <diagonal/>
    </border>
  </borders>
  <cellStyleXfs count="3">
    <xf numFmtId="0" fontId="0" fillId="0" borderId="0"/>
    <xf numFmtId="0" fontId="4" fillId="0" borderId="0"/>
    <xf numFmtId="0" fontId="1" fillId="0" borderId="0"/>
  </cellStyleXfs>
  <cellXfs count="92">
    <xf numFmtId="0" fontId="0" fillId="0" borderId="0" xfId="0"/>
    <xf numFmtId="0" fontId="0" fillId="0" borderId="0" xfId="0" applyAlignment="1">
      <alignment horizontal="center"/>
    </xf>
    <xf numFmtId="0" fontId="0" fillId="0" borderId="0" xfId="0" applyAlignment="1">
      <alignment horizontal="center" vertical="center"/>
    </xf>
    <xf numFmtId="0" fontId="8"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12" fillId="0" borderId="0" xfId="0" applyFont="1" applyAlignment="1">
      <alignment horizontal="justify" vertical="center" wrapText="1"/>
    </xf>
    <xf numFmtId="164" fontId="13" fillId="4" borderId="0" xfId="2" applyNumberFormat="1" applyFont="1" applyFill="1"/>
    <xf numFmtId="0" fontId="9" fillId="0" borderId="0" xfId="0" applyFont="1"/>
    <xf numFmtId="0" fontId="9" fillId="0" borderId="0" xfId="0" applyFont="1" applyAlignment="1">
      <alignment vertical="center"/>
    </xf>
    <xf numFmtId="0" fontId="0" fillId="0" borderId="0" xfId="0" applyAlignment="1">
      <alignment vertical="center"/>
    </xf>
    <xf numFmtId="0" fontId="20" fillId="0" borderId="0" xfId="0" applyFont="1" applyAlignment="1">
      <alignment vertical="center"/>
    </xf>
    <xf numFmtId="0" fontId="9"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14"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0" fillId="0" borderId="0" xfId="0" applyAlignment="1">
      <alignment horizontal="left" vertical="center"/>
    </xf>
    <xf numFmtId="0" fontId="8" fillId="2" borderId="1" xfId="0" applyFont="1" applyFill="1" applyBorder="1" applyAlignment="1">
      <alignment horizontal="left" vertical="center"/>
    </xf>
    <xf numFmtId="0" fontId="7" fillId="0" borderId="1" xfId="0" applyFont="1" applyBorder="1" applyAlignment="1">
      <alignment horizontal="left" vertical="center"/>
    </xf>
    <xf numFmtId="0" fontId="0" fillId="0" borderId="1" xfId="0" applyBorder="1" applyAlignment="1">
      <alignment horizontal="left" vertical="center"/>
    </xf>
    <xf numFmtId="0" fontId="5" fillId="0" borderId="0" xfId="0" applyFont="1"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xf>
    <xf numFmtId="0" fontId="9" fillId="0" borderId="0" xfId="0" applyFont="1" applyAlignment="1">
      <alignment vertical="center" wrapText="1"/>
    </xf>
    <xf numFmtId="0" fontId="9" fillId="0" borderId="0" xfId="0" applyFont="1" applyAlignment="1">
      <alignment horizontal="center" vertical="center" wrapText="1"/>
    </xf>
    <xf numFmtId="0" fontId="21" fillId="0" borderId="0" xfId="0" applyFont="1"/>
    <xf numFmtId="0" fontId="9" fillId="4" borderId="0" xfId="0" applyFont="1" applyFill="1" applyAlignment="1">
      <alignment horizontal="center" vertical="center" wrapText="1"/>
    </xf>
    <xf numFmtId="0" fontId="0" fillId="4" borderId="0" xfId="0" applyFill="1" applyAlignment="1">
      <alignment horizontal="center"/>
    </xf>
    <xf numFmtId="0" fontId="0" fillId="6" borderId="1" xfId="0" applyFill="1" applyBorder="1" applyAlignment="1">
      <alignment horizontal="left" vertical="center"/>
    </xf>
    <xf numFmtId="0" fontId="0" fillId="0" borderId="2" xfId="0" applyBorder="1" applyAlignment="1">
      <alignment horizontal="center" vertical="center"/>
    </xf>
    <xf numFmtId="0" fontId="23" fillId="0" borderId="10" xfId="0" applyFont="1" applyBorder="1" applyAlignment="1">
      <alignment vertical="center" wrapText="1" readingOrder="1"/>
    </xf>
    <xf numFmtId="0" fontId="23" fillId="0" borderId="11" xfId="0" applyFont="1" applyBorder="1" applyAlignment="1">
      <alignment vertical="center" wrapText="1" readingOrder="1"/>
    </xf>
    <xf numFmtId="0" fontId="23" fillId="0" borderId="1" xfId="0" applyFont="1" applyBorder="1" applyAlignment="1">
      <alignment vertical="center" wrapText="1" readingOrder="1"/>
    </xf>
    <xf numFmtId="0" fontId="23" fillId="0" borderId="12" xfId="0" applyFont="1" applyBorder="1" applyAlignment="1">
      <alignment vertical="center" wrapText="1" readingOrder="1"/>
    </xf>
    <xf numFmtId="0" fontId="23" fillId="0" borderId="13" xfId="0" applyFont="1" applyBorder="1" applyAlignment="1">
      <alignment vertical="center" wrapText="1" readingOrder="1"/>
    </xf>
    <xf numFmtId="0" fontId="23" fillId="0" borderId="14" xfId="0" applyFont="1" applyBorder="1" applyAlignment="1">
      <alignment vertical="center" wrapText="1" readingOrder="1"/>
    </xf>
    <xf numFmtId="0" fontId="23" fillId="0" borderId="15" xfId="0" applyFont="1" applyBorder="1" applyAlignment="1">
      <alignment vertical="center" wrapText="1" readingOrder="1"/>
    </xf>
    <xf numFmtId="0" fontId="0" fillId="0" borderId="16" xfId="0" applyBorder="1" applyAlignment="1">
      <alignment horizontal="center" vertical="center"/>
    </xf>
    <xf numFmtId="0" fontId="24" fillId="0" borderId="8" xfId="0" applyFont="1" applyBorder="1" applyAlignment="1">
      <alignment vertical="center" wrapText="1" readingOrder="1"/>
    </xf>
    <xf numFmtId="0" fontId="24" fillId="0" borderId="9" xfId="0" applyFont="1" applyBorder="1" applyAlignment="1">
      <alignment vertical="center" wrapText="1" readingOrder="1"/>
    </xf>
    <xf numFmtId="0" fontId="24" fillId="0" borderId="11" xfId="0" applyFont="1" applyBorder="1" applyAlignment="1">
      <alignment vertical="center" wrapText="1" readingOrder="1"/>
    </xf>
    <xf numFmtId="0" fontId="24" fillId="0" borderId="1" xfId="0" applyFont="1" applyBorder="1" applyAlignment="1">
      <alignment vertical="center" wrapText="1" readingOrder="1"/>
    </xf>
    <xf numFmtId="0" fontId="24" fillId="0" borderId="12" xfId="0" applyFont="1" applyBorder="1" applyAlignment="1">
      <alignment vertical="center" wrapText="1" readingOrder="1"/>
    </xf>
    <xf numFmtId="0" fontId="7" fillId="0" borderId="1" xfId="0" applyFont="1" applyBorder="1" applyAlignment="1">
      <alignment vertical="top"/>
    </xf>
    <xf numFmtId="0" fontId="7" fillId="0" borderId="1" xfId="0" quotePrefix="1" applyFont="1" applyBorder="1" applyAlignment="1">
      <alignment vertical="top" wrapText="1"/>
    </xf>
    <xf numFmtId="0" fontId="7" fillId="8" borderId="1" xfId="0" quotePrefix="1" applyFont="1" applyFill="1" applyBorder="1" applyAlignment="1">
      <alignment vertical="top" wrapText="1"/>
    </xf>
    <xf numFmtId="0" fontId="7" fillId="0" borderId="1" xfId="0" applyFont="1" applyBorder="1" applyAlignment="1">
      <alignment vertical="top" wrapText="1"/>
    </xf>
    <xf numFmtId="0" fontId="7" fillId="7" borderId="1" xfId="0" applyFont="1" applyFill="1" applyBorder="1" applyAlignment="1">
      <alignment vertical="top"/>
    </xf>
    <xf numFmtId="0" fontId="7" fillId="7" borderId="1" xfId="0" quotePrefix="1" applyFont="1" applyFill="1" applyBorder="1" applyAlignment="1">
      <alignment vertical="top" wrapText="1"/>
    </xf>
    <xf numFmtId="0" fontId="7" fillId="7" borderId="1" xfId="0" applyFont="1" applyFill="1" applyBorder="1" applyAlignment="1">
      <alignment vertical="top" wrapText="1"/>
    </xf>
    <xf numFmtId="0" fontId="0" fillId="0" borderId="1" xfId="0" applyBorder="1" applyAlignment="1">
      <alignment horizontal="left" vertical="top"/>
    </xf>
    <xf numFmtId="0" fontId="9" fillId="3" borderId="1" xfId="0" applyFont="1" applyFill="1" applyBorder="1" applyAlignment="1">
      <alignment horizontal="center" vertical="center" wrapText="1"/>
    </xf>
    <xf numFmtId="0" fontId="22" fillId="0" borderId="1" xfId="0" applyFont="1" applyBorder="1" applyAlignment="1">
      <alignment vertical="top" wrapText="1"/>
    </xf>
    <xf numFmtId="0" fontId="7" fillId="0" borderId="1" xfId="0" quotePrefix="1" applyFont="1" applyBorder="1" applyAlignment="1">
      <alignment horizontal="left" vertical="top" wrapText="1"/>
    </xf>
    <xf numFmtId="0" fontId="22" fillId="0" borderId="1" xfId="0" applyFont="1" applyBorder="1" applyAlignment="1">
      <alignment vertical="center" wrapText="1" readingOrder="1"/>
    </xf>
    <xf numFmtId="0" fontId="22" fillId="0" borderId="11" xfId="0" applyFont="1" applyBorder="1" applyAlignment="1">
      <alignment vertical="center" wrapText="1" readingOrder="1"/>
    </xf>
    <xf numFmtId="0" fontId="22" fillId="0" borderId="9" xfId="0" applyFont="1" applyBorder="1" applyAlignment="1">
      <alignment vertical="center" wrapText="1" readingOrder="1"/>
    </xf>
    <xf numFmtId="0" fontId="22" fillId="0" borderId="12" xfId="0" applyFont="1" applyBorder="1" applyAlignment="1">
      <alignment vertical="center" wrapText="1" readingOrder="1"/>
    </xf>
    <xf numFmtId="0" fontId="7" fillId="0" borderId="1" xfId="0" applyFont="1" applyFill="1" applyBorder="1" applyAlignment="1">
      <alignment vertical="top" wrapText="1"/>
    </xf>
    <xf numFmtId="0" fontId="0" fillId="0" borderId="1" xfId="0" applyFill="1" applyBorder="1" applyAlignment="1">
      <alignment horizontal="left" vertical="center"/>
    </xf>
    <xf numFmtId="0" fontId="9" fillId="3" borderId="1" xfId="0" applyFont="1" applyFill="1" applyBorder="1" applyAlignment="1">
      <alignment horizontal="center" vertical="center" wrapText="1"/>
    </xf>
    <xf numFmtId="0" fontId="7" fillId="0" borderId="1" xfId="0" applyFont="1" applyFill="1" applyBorder="1" applyAlignment="1">
      <alignment horizontal="left" vertical="top"/>
    </xf>
    <xf numFmtId="0" fontId="7" fillId="0" borderId="1" xfId="0" quotePrefix="1" applyFont="1" applyFill="1" applyBorder="1" applyAlignment="1">
      <alignment vertical="top" wrapText="1"/>
    </xf>
    <xf numFmtId="0" fontId="0" fillId="0" borderId="2" xfId="0" applyFill="1" applyBorder="1" applyAlignment="1">
      <alignment horizontal="center" vertical="center"/>
    </xf>
    <xf numFmtId="0" fontId="0" fillId="0" borderId="0" xfId="0" applyFill="1" applyBorder="1" applyAlignment="1">
      <alignment horizontal="center" vertical="center"/>
    </xf>
    <xf numFmtId="0" fontId="0" fillId="0" borderId="0" xfId="0" applyFill="1" applyAlignment="1">
      <alignment vertical="center"/>
    </xf>
    <xf numFmtId="0" fontId="22" fillId="0" borderId="1" xfId="0" applyFont="1" applyBorder="1"/>
    <xf numFmtId="0" fontId="24" fillId="0" borderId="2" xfId="0" applyFont="1" applyBorder="1" applyAlignment="1">
      <alignment vertical="center" wrapText="1" readingOrder="1"/>
    </xf>
    <xf numFmtId="0" fontId="22" fillId="0" borderId="17" xfId="0" applyFont="1" applyBorder="1" applyAlignment="1">
      <alignment vertical="center" wrapText="1" readingOrder="1"/>
    </xf>
    <xf numFmtId="0" fontId="22" fillId="0" borderId="2" xfId="0" applyFont="1" applyBorder="1" applyAlignment="1">
      <alignment vertical="center" wrapText="1" readingOrder="1"/>
    </xf>
    <xf numFmtId="164" fontId="14" fillId="5" borderId="5" xfId="2" applyNumberFormat="1" applyFont="1" applyFill="1" applyBorder="1"/>
    <xf numFmtId="0" fontId="19" fillId="4" borderId="6" xfId="2" applyFont="1" applyFill="1" applyBorder="1"/>
    <xf numFmtId="49" fontId="13" fillId="5" borderId="5" xfId="2" applyNumberFormat="1" applyFont="1" applyFill="1" applyBorder="1"/>
    <xf numFmtId="0" fontId="19" fillId="4" borderId="7" xfId="2" applyFont="1" applyFill="1" applyBorder="1"/>
    <xf numFmtId="14" fontId="13" fillId="5" borderId="5" xfId="2" applyNumberFormat="1" applyFont="1" applyFill="1" applyBorder="1" applyAlignment="1">
      <alignment horizontal="left"/>
    </xf>
    <xf numFmtId="14" fontId="19" fillId="4" borderId="7" xfId="2" applyNumberFormat="1" applyFont="1" applyFill="1" applyBorder="1"/>
    <xf numFmtId="14" fontId="19" fillId="4" borderId="6" xfId="2" applyNumberFormat="1" applyFont="1" applyFill="1" applyBorder="1"/>
    <xf numFmtId="164" fontId="13" fillId="4" borderId="0" xfId="2" applyNumberFormat="1" applyFont="1" applyFill="1" applyAlignment="1">
      <alignment horizontal="center" vertical="center" wrapText="1"/>
    </xf>
    <xf numFmtId="164" fontId="15" fillId="4" borderId="0" xfId="2" applyNumberFormat="1" applyFont="1" applyFill="1"/>
    <xf numFmtId="164" fontId="14" fillId="4" borderId="0" xfId="2" applyNumberFormat="1" applyFont="1" applyFill="1" applyAlignment="1">
      <alignment horizontal="right"/>
    </xf>
    <xf numFmtId="164" fontId="16" fillId="4" borderId="0" xfId="2" applyNumberFormat="1" applyFont="1" applyFill="1" applyAlignment="1">
      <alignment horizontal="center" wrapText="1"/>
    </xf>
    <xf numFmtId="164" fontId="17" fillId="4" borderId="0" xfId="2" applyNumberFormat="1" applyFont="1" applyFill="1" applyAlignment="1">
      <alignment horizontal="center" wrapText="1"/>
    </xf>
    <xf numFmtId="164" fontId="18" fillId="4" borderId="0" xfId="2" applyNumberFormat="1" applyFont="1" applyFill="1" applyAlignment="1">
      <alignment horizontal="right"/>
    </xf>
    <xf numFmtId="0" fontId="0" fillId="0" borderId="3"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left" vertical="center" wrapText="1"/>
    </xf>
    <xf numFmtId="0" fontId="9" fillId="3" borderId="1" xfId="0" applyFont="1" applyFill="1" applyBorder="1" applyAlignment="1">
      <alignment horizontal="center" vertical="center"/>
    </xf>
    <xf numFmtId="0" fontId="9" fillId="3" borderId="1" xfId="0" applyFont="1" applyFill="1" applyBorder="1" applyAlignment="1">
      <alignment horizontal="center" vertical="center" wrapText="1"/>
    </xf>
  </cellXfs>
  <cellStyles count="3">
    <cellStyle name="Normal" xfId="0" builtinId="0"/>
    <cellStyle name="Normal 2" xfId="1" xr:uid="{1ED78776-27A7-4226-92AC-A6E1DD24C972}"/>
    <cellStyle name="Normal 3" xfId="2" xr:uid="{00000000-0005-0000-0000-000032000000}"/>
  </cellStyles>
  <dxfs count="9">
    <dxf>
      <font>
        <strike val="0"/>
        <outline val="0"/>
        <shadow val="0"/>
        <u val="none"/>
        <vertAlign val="baseline"/>
        <sz val="11"/>
        <color auto="1"/>
        <name val="Arial"/>
        <family val="2"/>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minor"/>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vertical="top" textRotation="0" indent="0" justifyLastLine="0" shrinkToFit="0" readingOrder="0"/>
    </dxf>
    <dxf>
      <border outline="0">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171450</xdr:rowOff>
    </xdr:from>
    <xdr:to>
      <xdr:col>1</xdr:col>
      <xdr:colOff>1601085</xdr:colOff>
      <xdr:row>0</xdr:row>
      <xdr:rowOff>857250</xdr:rowOff>
    </xdr:to>
    <xdr:pic>
      <xdr:nvPicPr>
        <xdr:cNvPr id="2" name="Picture 1">
          <a:extLst>
            <a:ext uri="{FF2B5EF4-FFF2-40B4-BE49-F238E27FC236}">
              <a16:creationId xmlns:a16="http://schemas.microsoft.com/office/drawing/2014/main" id="{0D7082BE-79B1-499D-972C-ED8B964D7025}"/>
            </a:ext>
          </a:extLst>
        </xdr:cNvPr>
        <xdr:cNvPicPr>
          <a:picLocks noChangeAspect="1"/>
        </xdr:cNvPicPr>
      </xdr:nvPicPr>
      <xdr:blipFill>
        <a:blip xmlns:r="http://schemas.openxmlformats.org/officeDocument/2006/relationships" r:embed="rId1"/>
        <a:stretch>
          <a:fillRect/>
        </a:stretch>
      </xdr:blipFill>
      <xdr:spPr>
        <a:xfrm>
          <a:off x="704850" y="171450"/>
          <a:ext cx="1572510" cy="685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ham Thi Hong Ngoc (HO-CNTT)" id="{794BDA2F-B668-41FF-BFBA-C15E08685AF4}" userId="S::ngocpth.ho@mcredit.com.vn::79645bef-b0c0-4683-8af7-874c190c0d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63FC03-BF5F-4D47-AE35-690E574157B1}" name="Table1" displayName="Table1" ref="C2:F14" totalsRowShown="0" headerRowDxfId="8" dataDxfId="6" headerRowBorderDxfId="7" tableBorderDxfId="5" totalsRowBorderDxfId="4">
  <autoFilter ref="C2:F14" xr:uid="{9B0B67CB-3578-4C1A-B185-15BD776668FD}"/>
  <tableColumns count="4">
    <tableColumn id="1" xr3:uid="{BC58C6C3-85B9-49A1-A4F5-59C69C83B0BA}" name="Group User" dataDxfId="3"/>
    <tableColumn id="2" xr3:uid="{966E2322-CAC5-4816-94E4-7ED7CBE8442E}" name="Mô tả " dataDxfId="2"/>
    <tableColumn id="3" xr3:uid="{B2D91CE3-9582-4C73-9563-4F4B3EE00C9E}" name="Áp dụng " dataDxfId="1"/>
    <tableColumn id="4" xr3:uid="{56B9CF8B-2D99-4F94-A0F8-015067AB341C}" name="Hình thức cấp quyền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 dT="2025-11-27T04:36:41.04" personId="{794BDA2F-B668-41FF-BFBA-C15E08685AF4}" id="{A7ACBD6D-486A-4073-9DF9-E8CCE602AD23}">
    <text>Chỉnh sửa nội dung Group phù hợp</text>
  </threadedComment>
</ThreadedComments>
</file>

<file path=xl/threadedComments/threadedComment2.xml><?xml version="1.0" encoding="utf-8"?>
<ThreadedComments xmlns="http://schemas.microsoft.com/office/spreadsheetml/2018/threadedcomments" xmlns:x="http://schemas.openxmlformats.org/spreadsheetml/2006/main">
  <threadedComment ref="B7" dT="2025-11-27T04:36:41.04" personId="{794BDA2F-B668-41FF-BFBA-C15E08685AF4}" id="{C0E7C7A2-9209-4D7D-B385-599F68D0D3F4}">
    <text>Chỉnh sửa nội dung Group phù hợp</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CF34C-6E57-4F42-B994-5572974E0112}">
  <sheetPr>
    <pageSetUpPr autoPageBreaks="0" fitToPage="1"/>
  </sheetPr>
  <dimension ref="A1:J16"/>
  <sheetViews>
    <sheetView showGridLines="0" tabSelected="1" view="pageBreakPreview" topLeftCell="B1" zoomScaleNormal="115" zoomScaleSheetLayoutView="100" workbookViewId="0">
      <selection activeCell="I31" sqref="I31"/>
    </sheetView>
  </sheetViews>
  <sheetFormatPr defaultColWidth="8.875" defaultRowHeight="14.25" x14ac:dyDescent="0.2"/>
  <cols>
    <col min="2" max="2" width="33.875" customWidth="1"/>
    <col min="7" max="7" width="15.625" customWidth="1"/>
    <col min="8" max="8" width="1.375" customWidth="1"/>
    <col min="9" max="9" width="30.125" customWidth="1"/>
    <col min="10" max="10" width="14.125" customWidth="1"/>
  </cols>
  <sheetData>
    <row r="1" spans="1:10" ht="78" customHeight="1" x14ac:dyDescent="0.2">
      <c r="A1" s="7"/>
      <c r="B1" s="79" t="s">
        <v>216</v>
      </c>
      <c r="C1" s="80"/>
      <c r="D1" s="80"/>
      <c r="E1" s="80"/>
      <c r="F1" s="80"/>
      <c r="G1" s="80"/>
      <c r="H1" s="80"/>
      <c r="I1" s="80"/>
      <c r="J1" s="80"/>
    </row>
    <row r="2" spans="1:10" ht="15.75" x14ac:dyDescent="0.25">
      <c r="A2" s="7"/>
      <c r="B2" s="7"/>
      <c r="C2" s="7"/>
      <c r="D2" s="7"/>
      <c r="E2" s="7"/>
      <c r="F2" s="81"/>
      <c r="G2" s="80"/>
      <c r="H2" s="80"/>
      <c r="I2" s="80"/>
      <c r="J2" s="80"/>
    </row>
    <row r="3" spans="1:10" ht="15" x14ac:dyDescent="0.2">
      <c r="A3" s="7"/>
      <c r="B3" s="7"/>
      <c r="C3" s="7"/>
      <c r="D3" s="7"/>
      <c r="E3" s="7"/>
      <c r="F3" s="7"/>
      <c r="G3" s="7"/>
      <c r="H3" s="7"/>
      <c r="I3" s="7"/>
      <c r="J3" s="7"/>
    </row>
    <row r="4" spans="1:10" ht="15" x14ac:dyDescent="0.2">
      <c r="A4" s="7"/>
      <c r="B4" s="7"/>
      <c r="C4" s="7"/>
      <c r="D4" s="7"/>
      <c r="E4" s="7"/>
      <c r="F4" s="7"/>
      <c r="G4" s="7"/>
      <c r="H4" s="7"/>
      <c r="I4" s="7"/>
      <c r="J4" s="7"/>
    </row>
    <row r="5" spans="1:10" ht="15" x14ac:dyDescent="0.2">
      <c r="A5" s="7"/>
      <c r="B5" s="7"/>
      <c r="C5" s="7"/>
      <c r="D5" s="7"/>
      <c r="E5" s="7"/>
      <c r="F5" s="7"/>
      <c r="G5" s="7"/>
      <c r="H5" s="7"/>
      <c r="I5" s="7"/>
      <c r="J5" s="7"/>
    </row>
    <row r="6" spans="1:10" ht="15" x14ac:dyDescent="0.2">
      <c r="A6" s="7"/>
      <c r="B6" s="7"/>
      <c r="C6" s="7"/>
      <c r="E6" s="27"/>
      <c r="F6" s="7"/>
      <c r="G6" s="7"/>
      <c r="H6" s="7"/>
      <c r="I6" s="7"/>
      <c r="J6" s="7"/>
    </row>
    <row r="7" spans="1:10" ht="65.25" customHeight="1" x14ac:dyDescent="0.4">
      <c r="A7" s="7"/>
      <c r="B7" s="82" t="s">
        <v>0</v>
      </c>
      <c r="C7" s="80"/>
      <c r="D7" s="80"/>
      <c r="E7" s="80"/>
      <c r="F7" s="80"/>
      <c r="G7" s="80"/>
      <c r="H7" s="80"/>
      <c r="I7" s="80"/>
      <c r="J7" s="80"/>
    </row>
    <row r="8" spans="1:10" ht="105.75" customHeight="1" x14ac:dyDescent="0.4">
      <c r="A8" s="7"/>
      <c r="B8" s="83" t="s">
        <v>215</v>
      </c>
      <c r="C8" s="80"/>
      <c r="D8" s="80"/>
      <c r="E8" s="80"/>
      <c r="F8" s="80"/>
      <c r="G8" s="80"/>
      <c r="H8" s="80"/>
      <c r="I8" s="80"/>
      <c r="J8" s="80"/>
    </row>
    <row r="9" spans="1:10" ht="15.75" x14ac:dyDescent="0.25">
      <c r="A9" s="7"/>
      <c r="B9" s="7"/>
      <c r="C9" s="7"/>
      <c r="D9" s="7"/>
      <c r="E9" s="7"/>
      <c r="F9" s="7"/>
      <c r="G9" s="7"/>
      <c r="H9" s="7"/>
      <c r="I9" s="84"/>
      <c r="J9" s="84"/>
    </row>
    <row r="10" spans="1:10" ht="15" x14ac:dyDescent="0.2">
      <c r="A10" s="7"/>
      <c r="B10" s="7"/>
      <c r="C10" s="7"/>
      <c r="D10" s="7"/>
      <c r="E10" s="7"/>
      <c r="F10" s="7"/>
      <c r="G10" s="7"/>
      <c r="H10" s="7"/>
      <c r="I10" s="7"/>
      <c r="J10" s="7"/>
    </row>
    <row r="11" spans="1:10" ht="15" x14ac:dyDescent="0.2">
      <c r="A11" s="7"/>
      <c r="B11" s="7"/>
      <c r="C11" s="7"/>
      <c r="D11" s="7"/>
      <c r="E11" s="7"/>
      <c r="F11" s="7"/>
      <c r="G11" s="7"/>
      <c r="H11" s="7"/>
      <c r="I11" s="7"/>
      <c r="J11" s="7"/>
    </row>
    <row r="12" spans="1:10" ht="15" x14ac:dyDescent="0.2">
      <c r="A12" s="7"/>
      <c r="B12" s="7"/>
      <c r="C12" s="7"/>
      <c r="D12" s="7"/>
      <c r="E12" s="7"/>
      <c r="F12" s="7"/>
      <c r="G12" s="7"/>
      <c r="H12" s="7"/>
      <c r="I12" s="7"/>
      <c r="J12" s="7"/>
    </row>
    <row r="13" spans="1:10" ht="15" x14ac:dyDescent="0.2">
      <c r="A13" s="7"/>
      <c r="B13" s="7"/>
      <c r="C13" s="7"/>
      <c r="D13" s="7"/>
      <c r="E13" s="7"/>
      <c r="F13" s="7"/>
      <c r="G13" s="7"/>
      <c r="H13" s="7"/>
      <c r="I13" s="7"/>
      <c r="J13" s="7"/>
    </row>
    <row r="14" spans="1:10" ht="15" x14ac:dyDescent="0.2">
      <c r="A14" s="7"/>
      <c r="B14" s="7"/>
      <c r="C14" s="7"/>
      <c r="D14" s="7"/>
      <c r="E14" s="7"/>
      <c r="F14" s="7"/>
      <c r="G14" s="7"/>
      <c r="H14" s="7"/>
      <c r="I14" s="7"/>
      <c r="J14" s="7"/>
    </row>
    <row r="15" spans="1:10" ht="15.75" x14ac:dyDescent="0.25">
      <c r="A15" s="7"/>
      <c r="B15" s="7"/>
      <c r="C15" s="7"/>
      <c r="D15" s="72" t="s">
        <v>1</v>
      </c>
      <c r="E15" s="73"/>
      <c r="F15" s="74" t="s">
        <v>2</v>
      </c>
      <c r="G15" s="75"/>
      <c r="H15" s="73"/>
      <c r="I15" s="7"/>
      <c r="J15" s="7"/>
    </row>
    <row r="16" spans="1:10" ht="15.75" x14ac:dyDescent="0.25">
      <c r="A16" s="7"/>
      <c r="B16" s="7"/>
      <c r="C16" s="7"/>
      <c r="D16" s="72" t="s">
        <v>3</v>
      </c>
      <c r="E16" s="73"/>
      <c r="F16" s="76">
        <v>46295</v>
      </c>
      <c r="G16" s="77"/>
      <c r="H16" s="78"/>
      <c r="I16" s="7"/>
      <c r="J16" s="7"/>
    </row>
  </sheetData>
  <mergeCells count="9">
    <mergeCell ref="D15:E15"/>
    <mergeCell ref="F15:H15"/>
    <mergeCell ref="D16:E16"/>
    <mergeCell ref="F16:H16"/>
    <mergeCell ref="B1:J1"/>
    <mergeCell ref="F2:J2"/>
    <mergeCell ref="B7:J7"/>
    <mergeCell ref="B8:J8"/>
    <mergeCell ref="I9:J9"/>
  </mergeCells>
  <printOptions horizontalCentered="1"/>
  <pageMargins left="0.70866141732283472" right="0.74803149606299213" top="0.74803149606299213" bottom="0.74803149606299213" header="0.31496062992125984" footer="0.31496062992125984"/>
  <pageSetup paperSize="9" scale="75" orientation="landscape" r:id="rId1"/>
  <headerFooter>
    <oddFooter>&amp;L&amp;"Times New Roman,Regular"&amp;10&amp;B&amp;K00BFFFNOIBO</oddFooter>
    <evenFooter>&amp;L&amp;"Times New Roman,Regular"&amp;10&amp;B&amp;K00BFFFNOIBO</evenFooter>
    <firstFooter>&amp;L&amp;"Times New Roman,Regular"&amp;10&amp;B&amp;K00BFFFNOIBO</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AC7C-D623-430A-BF4E-0C62984B2E9F}">
  <sheetPr>
    <pageSetUpPr autoPageBreaks="0" fitToPage="1"/>
  </sheetPr>
  <dimension ref="A1:D5"/>
  <sheetViews>
    <sheetView showGridLines="0" tabSelected="1" view="pageBreakPreview" zoomScale="90" zoomScaleNormal="100" zoomScaleSheetLayoutView="90" workbookViewId="0">
      <selection activeCell="I31" sqref="I31"/>
    </sheetView>
  </sheetViews>
  <sheetFormatPr defaultColWidth="8.875" defaultRowHeight="14.25" x14ac:dyDescent="0.2"/>
  <cols>
    <col min="1" max="1" width="16.125" customWidth="1"/>
    <col min="2" max="2" width="18" customWidth="1"/>
    <col min="3" max="3" width="29.625" customWidth="1"/>
    <col min="4" max="4" width="20.5" customWidth="1"/>
  </cols>
  <sheetData>
    <row r="1" spans="1:4" s="8" customFormat="1" ht="33" customHeight="1" x14ac:dyDescent="0.25">
      <c r="A1" s="9" t="s">
        <v>4</v>
      </c>
    </row>
    <row r="2" spans="1:4" ht="21" customHeight="1" x14ac:dyDescent="0.2">
      <c r="A2" s="13" t="s">
        <v>5</v>
      </c>
      <c r="B2" s="13" t="s">
        <v>6</v>
      </c>
      <c r="C2" s="13" t="s">
        <v>7</v>
      </c>
      <c r="D2" s="13" t="s">
        <v>8</v>
      </c>
    </row>
    <row r="3" spans="1:4" ht="21" customHeight="1" x14ac:dyDescent="0.2">
      <c r="A3" s="14">
        <v>46288</v>
      </c>
      <c r="B3" s="15">
        <v>1</v>
      </c>
      <c r="C3" s="15" t="s">
        <v>9</v>
      </c>
      <c r="D3" s="15"/>
    </row>
    <row r="4" spans="1:4" ht="17.25" x14ac:dyDescent="0.2">
      <c r="A4" s="6"/>
      <c r="B4" s="6"/>
      <c r="C4" s="6"/>
      <c r="D4" s="6"/>
    </row>
    <row r="5" spans="1:4" ht="17.25" x14ac:dyDescent="0.2">
      <c r="A5" s="6"/>
      <c r="B5" s="6"/>
      <c r="C5" s="6"/>
      <c r="D5" s="6"/>
    </row>
  </sheetData>
  <printOptions horizontalCentered="1"/>
  <pageMargins left="0.70866141732283472" right="0.70866141732283472" top="0.74803149606299213" bottom="0.74803149606299213" header="0.31496062992125984" footer="0.31496062992125984"/>
  <pageSetup paperSize="9" orientation="landscape" r:id="rId1"/>
  <headerFooter>
    <oddFooter>&amp;L&amp;"Times New Roman,Regular"&amp;10&amp;B&amp;K00BFFFNOIBO</oddFooter>
    <evenFooter>&amp;L&amp;"Times New Roman,Regular"&amp;10&amp;B&amp;K00BFFFNOIBO</evenFooter>
    <firstFooter>&amp;L&amp;"Times New Roman,Regular"&amp;10&amp;B&amp;K00BFFFNOIBO</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EA5F-7607-465B-B377-BFE4028EC93B}">
  <sheetPr>
    <pageSetUpPr autoPageBreaks="0" fitToPage="1"/>
  </sheetPr>
  <dimension ref="A1:G14"/>
  <sheetViews>
    <sheetView showGridLines="0" tabSelected="1" view="pageBreakPreview" topLeftCell="A12" zoomScale="70" zoomScaleNormal="100" zoomScaleSheetLayoutView="70" workbookViewId="0">
      <selection activeCell="I31" sqref="I31"/>
    </sheetView>
  </sheetViews>
  <sheetFormatPr defaultColWidth="9" defaultRowHeight="14.25" x14ac:dyDescent="0.2"/>
  <cols>
    <col min="1" max="1" width="6.375" style="10" customWidth="1"/>
    <col min="2" max="2" width="25" style="16" customWidth="1"/>
    <col min="3" max="3" width="18.625" style="10" customWidth="1"/>
    <col min="4" max="4" width="52" style="10" customWidth="1"/>
    <col min="5" max="5" width="60.625" style="10" customWidth="1"/>
    <col min="6" max="6" width="29" style="10" customWidth="1"/>
    <col min="7" max="16384" width="9" style="10"/>
  </cols>
  <sheetData>
    <row r="1" spans="1:7" ht="24" customHeight="1" x14ac:dyDescent="0.2">
      <c r="A1" s="9" t="s">
        <v>10</v>
      </c>
    </row>
    <row r="2" spans="1:7" s="2" customFormat="1" ht="30.95" customHeight="1" x14ac:dyDescent="0.2">
      <c r="A2" s="3" t="s">
        <v>11</v>
      </c>
      <c r="B2" s="17" t="s">
        <v>12</v>
      </c>
      <c r="C2" s="23" t="s">
        <v>13</v>
      </c>
      <c r="D2" s="23" t="s">
        <v>14</v>
      </c>
      <c r="E2" s="23" t="s">
        <v>15</v>
      </c>
      <c r="F2" s="23" t="s">
        <v>16</v>
      </c>
    </row>
    <row r="3" spans="1:7" ht="79.5" customHeight="1" x14ac:dyDescent="0.2">
      <c r="A3" s="23">
        <f>ROW()-2</f>
        <v>1</v>
      </c>
      <c r="B3" s="87" t="s">
        <v>17</v>
      </c>
      <c r="C3" s="45" t="s">
        <v>18</v>
      </c>
      <c r="D3" s="46" t="s">
        <v>19</v>
      </c>
      <c r="E3" s="47" t="s">
        <v>229</v>
      </c>
      <c r="F3" s="48" t="s">
        <v>20</v>
      </c>
    </row>
    <row r="4" spans="1:7" ht="96" customHeight="1" x14ac:dyDescent="0.2">
      <c r="A4" s="85">
        <f t="shared" ref="A4" si="0">ROW()-2</f>
        <v>2</v>
      </c>
      <c r="B4" s="88"/>
      <c r="C4" s="45" t="s">
        <v>21</v>
      </c>
      <c r="D4" s="46" t="s">
        <v>99</v>
      </c>
      <c r="E4" s="48" t="s">
        <v>22</v>
      </c>
      <c r="F4" s="60" t="s">
        <v>95</v>
      </c>
    </row>
    <row r="5" spans="1:7" ht="86.25" x14ac:dyDescent="0.2">
      <c r="A5" s="86"/>
      <c r="B5" s="89"/>
      <c r="C5" s="49" t="s">
        <v>24</v>
      </c>
      <c r="D5" s="50" t="s">
        <v>25</v>
      </c>
      <c r="E5" s="51" t="s">
        <v>26</v>
      </c>
      <c r="F5" s="48" t="s">
        <v>95</v>
      </c>
    </row>
    <row r="6" spans="1:7" ht="123" customHeight="1" x14ac:dyDescent="0.2">
      <c r="A6" s="31">
        <v>3</v>
      </c>
      <c r="B6" s="87" t="s">
        <v>27</v>
      </c>
      <c r="C6" s="52" t="s">
        <v>93</v>
      </c>
      <c r="D6" s="55" t="s">
        <v>115</v>
      </c>
      <c r="E6" s="54" t="s">
        <v>100</v>
      </c>
      <c r="F6" s="60" t="s">
        <v>95</v>
      </c>
      <c r="G6" s="39"/>
    </row>
    <row r="7" spans="1:7" s="67" customFormat="1" ht="93.75" customHeight="1" x14ac:dyDescent="0.2">
      <c r="A7" s="65">
        <v>4</v>
      </c>
      <c r="B7" s="88"/>
      <c r="C7" s="63" t="s">
        <v>101</v>
      </c>
      <c r="D7" s="64" t="s">
        <v>106</v>
      </c>
      <c r="E7" s="60" t="s">
        <v>223</v>
      </c>
      <c r="F7" s="60" t="s">
        <v>95</v>
      </c>
      <c r="G7" s="66"/>
    </row>
    <row r="8" spans="1:7" s="67" customFormat="1" ht="57.75" customHeight="1" x14ac:dyDescent="0.2">
      <c r="A8" s="65">
        <v>5</v>
      </c>
      <c r="B8" s="88"/>
      <c r="C8" s="63" t="s">
        <v>102</v>
      </c>
      <c r="D8" s="64" t="s">
        <v>107</v>
      </c>
      <c r="E8" s="60" t="s">
        <v>103</v>
      </c>
      <c r="F8" s="60" t="s">
        <v>95</v>
      </c>
      <c r="G8" s="66"/>
    </row>
    <row r="9" spans="1:7" s="67" customFormat="1" ht="111" customHeight="1" x14ac:dyDescent="0.2">
      <c r="A9" s="65">
        <v>6</v>
      </c>
      <c r="B9" s="88"/>
      <c r="C9" s="63" t="s">
        <v>104</v>
      </c>
      <c r="D9" s="64" t="s">
        <v>108</v>
      </c>
      <c r="E9" s="60" t="s">
        <v>224</v>
      </c>
      <c r="F9" s="60" t="s">
        <v>95</v>
      </c>
      <c r="G9" s="66"/>
    </row>
    <row r="10" spans="1:7" s="67" customFormat="1" ht="81.75" customHeight="1" x14ac:dyDescent="0.2">
      <c r="A10" s="65">
        <v>7</v>
      </c>
      <c r="B10" s="88"/>
      <c r="C10" s="63" t="s">
        <v>105</v>
      </c>
      <c r="D10" s="64" t="s">
        <v>109</v>
      </c>
      <c r="E10" s="60" t="s">
        <v>225</v>
      </c>
      <c r="F10" s="60" t="s">
        <v>95</v>
      </c>
      <c r="G10" s="66"/>
    </row>
    <row r="11" spans="1:7" s="67" customFormat="1" ht="78.75" customHeight="1" x14ac:dyDescent="0.2">
      <c r="A11" s="65">
        <v>8</v>
      </c>
      <c r="B11" s="88"/>
      <c r="C11" s="63" t="s">
        <v>110</v>
      </c>
      <c r="D11" s="64" t="s">
        <v>111</v>
      </c>
      <c r="E11" s="60" t="s">
        <v>226</v>
      </c>
      <c r="F11" s="60" t="s">
        <v>95</v>
      </c>
      <c r="G11" s="66"/>
    </row>
    <row r="12" spans="1:7" s="67" customFormat="1" ht="61.5" customHeight="1" x14ac:dyDescent="0.2">
      <c r="A12" s="65">
        <v>9</v>
      </c>
      <c r="B12" s="88"/>
      <c r="C12" s="63" t="s">
        <v>112</v>
      </c>
      <c r="D12" s="64" t="s">
        <v>113</v>
      </c>
      <c r="E12" s="60" t="s">
        <v>227</v>
      </c>
      <c r="F12" s="60" t="s">
        <v>95</v>
      </c>
      <c r="G12" s="66"/>
    </row>
    <row r="13" spans="1:7" s="67" customFormat="1" ht="66.75" customHeight="1" x14ac:dyDescent="0.2">
      <c r="A13" s="65">
        <v>10</v>
      </c>
      <c r="B13" s="88"/>
      <c r="C13" s="63" t="s">
        <v>217</v>
      </c>
      <c r="D13" s="64" t="s">
        <v>222</v>
      </c>
      <c r="E13" s="60" t="s">
        <v>228</v>
      </c>
      <c r="F13" s="60" t="s">
        <v>95</v>
      </c>
      <c r="G13" s="66"/>
    </row>
    <row r="14" spans="1:7" ht="123.95" customHeight="1" x14ac:dyDescent="0.2">
      <c r="A14" s="23">
        <v>11</v>
      </c>
      <c r="B14" s="89"/>
      <c r="C14" s="45" t="s">
        <v>28</v>
      </c>
      <c r="D14" s="55" t="s">
        <v>114</v>
      </c>
      <c r="E14" s="48" t="s">
        <v>29</v>
      </c>
      <c r="F14" s="48" t="s">
        <v>23</v>
      </c>
    </row>
  </sheetData>
  <mergeCells count="3">
    <mergeCell ref="A4:A5"/>
    <mergeCell ref="B3:B5"/>
    <mergeCell ref="B6:B14"/>
  </mergeCells>
  <printOptions horizontalCentered="1"/>
  <pageMargins left="0.70866141732283472" right="0.70866141732283472" top="0.74803149606299213" bottom="0.74803149606299213" header="0.31496062992125984" footer="0.31496062992125984"/>
  <pageSetup paperSize="9" scale="44" orientation="landscape" r:id="rId1"/>
  <headerFooter>
    <oddFooter>&amp;L&amp;"Times New Roman,Regular"&amp;10&amp;B&amp;K00BFFFNOIBO</oddFooter>
    <evenFooter>&amp;L&amp;"Times New Roman,Regular"&amp;10&amp;B&amp;K00BFFFNOIBO</evenFooter>
    <firstFooter>&amp;L&amp;"Times New Roman,Regular"&amp;10&amp;B&amp;K00BFFFNOIBO</firstFooter>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FFA6-E0B3-4A50-87A6-0ACE9DE56E27}">
  <sheetPr>
    <pageSetUpPr autoPageBreaks="0" fitToPage="1"/>
  </sheetPr>
  <dimension ref="A1:I16"/>
  <sheetViews>
    <sheetView showGridLines="0" tabSelected="1" view="pageBreakPreview" topLeftCell="A11" zoomScale="90" zoomScaleNormal="100" zoomScaleSheetLayoutView="90" workbookViewId="0">
      <selection activeCell="I31" sqref="I31"/>
    </sheetView>
  </sheetViews>
  <sheetFormatPr defaultColWidth="17.625" defaultRowHeight="14.25" x14ac:dyDescent="0.2"/>
  <cols>
    <col min="1" max="1" width="9.375" style="10" customWidth="1"/>
    <col min="2" max="3" width="17.625" style="10"/>
    <col min="4" max="4" width="23.625" style="10" customWidth="1"/>
    <col min="5" max="9" width="17.625" style="10"/>
    <col min="10" max="10" width="9" style="10" customWidth="1"/>
    <col min="11" max="16384" width="17.625" style="10"/>
  </cols>
  <sheetData>
    <row r="1" spans="1:9" ht="24.75" customHeight="1" x14ac:dyDescent="0.2">
      <c r="A1" s="9" t="s">
        <v>30</v>
      </c>
    </row>
    <row r="2" spans="1:9" ht="15" x14ac:dyDescent="0.2">
      <c r="A2" s="90" t="s">
        <v>11</v>
      </c>
      <c r="B2" s="90" t="s">
        <v>13</v>
      </c>
      <c r="C2" s="90" t="s">
        <v>31</v>
      </c>
      <c r="D2" s="90"/>
      <c r="E2" s="90"/>
      <c r="F2" s="90"/>
      <c r="G2" s="90"/>
      <c r="H2" s="90"/>
      <c r="I2" s="90"/>
    </row>
    <row r="3" spans="1:9" ht="30" x14ac:dyDescent="0.2">
      <c r="A3" s="90"/>
      <c r="B3" s="90"/>
      <c r="C3" s="12" t="s">
        <v>32</v>
      </c>
      <c r="D3" s="12" t="s">
        <v>33</v>
      </c>
      <c r="E3" s="12" t="s">
        <v>34</v>
      </c>
      <c r="F3" s="12" t="s">
        <v>35</v>
      </c>
      <c r="G3" s="12" t="s">
        <v>36</v>
      </c>
      <c r="H3" s="12" t="s">
        <v>37</v>
      </c>
      <c r="I3" s="12" t="s">
        <v>38</v>
      </c>
    </row>
    <row r="4" spans="1:9" ht="24.75" customHeight="1" x14ac:dyDescent="0.2">
      <c r="A4" s="23">
        <f>ROW()-3</f>
        <v>1</v>
      </c>
      <c r="B4" s="19" t="s">
        <v>18</v>
      </c>
      <c r="C4" s="23" t="s">
        <v>39</v>
      </c>
      <c r="D4" s="23"/>
      <c r="E4" s="23"/>
      <c r="F4" s="23"/>
      <c r="G4" s="23"/>
      <c r="H4" s="23"/>
      <c r="I4" s="23"/>
    </row>
    <row r="5" spans="1:9" ht="24.75" customHeight="1" x14ac:dyDescent="0.2">
      <c r="A5" s="23">
        <f t="shared" ref="A5:A15" si="0">ROW()-3</f>
        <v>2</v>
      </c>
      <c r="B5" s="19" t="s">
        <v>21</v>
      </c>
      <c r="C5" s="23" t="s">
        <v>39</v>
      </c>
      <c r="D5" s="23"/>
      <c r="E5" s="23" t="s">
        <v>39</v>
      </c>
      <c r="F5" s="23" t="s">
        <v>39</v>
      </c>
      <c r="G5" s="23" t="s">
        <v>39</v>
      </c>
      <c r="H5" s="23" t="s">
        <v>39</v>
      </c>
      <c r="I5" s="23" t="s">
        <v>39</v>
      </c>
    </row>
    <row r="6" spans="1:9" ht="24.75" customHeight="1" x14ac:dyDescent="0.2">
      <c r="A6" s="23">
        <f t="shared" si="0"/>
        <v>3</v>
      </c>
      <c r="B6" s="19" t="s">
        <v>24</v>
      </c>
      <c r="C6" s="23" t="s">
        <v>39</v>
      </c>
      <c r="D6" s="23"/>
      <c r="E6" s="23"/>
      <c r="F6" s="23"/>
      <c r="G6" s="23"/>
      <c r="H6" s="23"/>
      <c r="I6" s="23"/>
    </row>
    <row r="7" spans="1:9" ht="24.75" customHeight="1" x14ac:dyDescent="0.2">
      <c r="A7" s="23">
        <f t="shared" si="0"/>
        <v>4</v>
      </c>
      <c r="B7" s="61" t="s">
        <v>93</v>
      </c>
      <c r="C7" s="23" t="s">
        <v>39</v>
      </c>
      <c r="D7" s="23"/>
      <c r="E7" s="23"/>
      <c r="F7" s="23"/>
      <c r="G7" s="23"/>
      <c r="H7" s="23"/>
      <c r="I7" s="23"/>
    </row>
    <row r="8" spans="1:9" ht="24.75" customHeight="1" x14ac:dyDescent="0.2">
      <c r="A8" s="23">
        <f t="shared" si="0"/>
        <v>5</v>
      </c>
      <c r="B8" s="61" t="s">
        <v>101</v>
      </c>
      <c r="C8" s="23" t="s">
        <v>39</v>
      </c>
      <c r="D8" s="23"/>
      <c r="E8" s="23"/>
      <c r="F8" s="23"/>
      <c r="G8" s="23"/>
      <c r="H8" s="23"/>
      <c r="I8" s="23"/>
    </row>
    <row r="9" spans="1:9" ht="24.75" customHeight="1" x14ac:dyDescent="0.2">
      <c r="A9" s="23">
        <f t="shared" si="0"/>
        <v>6</v>
      </c>
      <c r="B9" s="61" t="s">
        <v>102</v>
      </c>
      <c r="C9" s="23" t="s">
        <v>39</v>
      </c>
      <c r="D9" s="23"/>
      <c r="E9" s="23"/>
      <c r="F9" s="23"/>
      <c r="G9" s="23"/>
      <c r="H9" s="23"/>
      <c r="I9" s="23"/>
    </row>
    <row r="10" spans="1:9" ht="24.75" customHeight="1" x14ac:dyDescent="0.2">
      <c r="A10" s="23">
        <f t="shared" si="0"/>
        <v>7</v>
      </c>
      <c r="B10" s="61" t="s">
        <v>104</v>
      </c>
      <c r="C10" s="23" t="s">
        <v>39</v>
      </c>
      <c r="D10" s="23"/>
      <c r="E10" s="23"/>
      <c r="F10" s="23"/>
      <c r="G10" s="23"/>
      <c r="H10" s="23"/>
      <c r="I10" s="23"/>
    </row>
    <row r="11" spans="1:9" ht="24.75" customHeight="1" x14ac:dyDescent="0.2">
      <c r="A11" s="23">
        <f t="shared" si="0"/>
        <v>8</v>
      </c>
      <c r="B11" s="61" t="s">
        <v>105</v>
      </c>
      <c r="C11" s="23" t="s">
        <v>39</v>
      </c>
      <c r="D11" s="23"/>
      <c r="E11" s="23"/>
      <c r="F11" s="23"/>
      <c r="G11" s="23"/>
      <c r="H11" s="23"/>
      <c r="I11" s="23"/>
    </row>
    <row r="12" spans="1:9" ht="24.75" customHeight="1" x14ac:dyDescent="0.2">
      <c r="A12" s="23">
        <f t="shared" si="0"/>
        <v>9</v>
      </c>
      <c r="B12" s="61" t="s">
        <v>110</v>
      </c>
      <c r="C12" s="23" t="s">
        <v>39</v>
      </c>
      <c r="D12" s="23"/>
      <c r="E12" s="23"/>
      <c r="F12" s="23"/>
      <c r="G12" s="23"/>
      <c r="H12" s="23"/>
      <c r="I12" s="23"/>
    </row>
    <row r="13" spans="1:9" ht="24.75" customHeight="1" x14ac:dyDescent="0.2">
      <c r="A13" s="23">
        <f t="shared" si="0"/>
        <v>10</v>
      </c>
      <c r="B13" s="61" t="s">
        <v>112</v>
      </c>
      <c r="C13" s="23" t="s">
        <v>39</v>
      </c>
      <c r="D13" s="23"/>
      <c r="E13" s="23"/>
      <c r="F13" s="23"/>
      <c r="G13" s="23"/>
      <c r="H13" s="23"/>
      <c r="I13" s="23"/>
    </row>
    <row r="14" spans="1:9" ht="24.75" customHeight="1" x14ac:dyDescent="0.2">
      <c r="A14" s="23">
        <f t="shared" si="0"/>
        <v>11</v>
      </c>
      <c r="B14" s="61" t="s">
        <v>217</v>
      </c>
      <c r="C14" s="23" t="s">
        <v>39</v>
      </c>
      <c r="D14" s="23"/>
      <c r="E14" s="23"/>
      <c r="F14" s="23"/>
      <c r="G14" s="23"/>
      <c r="H14" s="23"/>
      <c r="I14" s="23"/>
    </row>
    <row r="15" spans="1:9" ht="24.75" customHeight="1" x14ac:dyDescent="0.2">
      <c r="A15" s="23">
        <f t="shared" si="0"/>
        <v>12</v>
      </c>
      <c r="B15" s="68" t="s">
        <v>28</v>
      </c>
      <c r="C15" s="23" t="s">
        <v>39</v>
      </c>
      <c r="D15" s="19"/>
      <c r="E15" s="19"/>
      <c r="F15" s="19"/>
      <c r="G15" s="22"/>
      <c r="H15" s="22"/>
      <c r="I15" s="22"/>
    </row>
    <row r="16" spans="1:9" x14ac:dyDescent="0.2">
      <c r="A16" s="2"/>
      <c r="C16" s="2"/>
    </row>
  </sheetData>
  <mergeCells count="3">
    <mergeCell ref="C2:I2"/>
    <mergeCell ref="B2:B3"/>
    <mergeCell ref="A2:A3"/>
  </mergeCells>
  <printOptions horizontalCentered="1"/>
  <pageMargins left="0.70866141732283472" right="0.70866141732283472" top="0.74803149606299213" bottom="0.74803149606299213" header="0.31496062992125984" footer="0.31496062992125984"/>
  <pageSetup paperSize="9" scale="73" orientation="landscape" r:id="rId1"/>
  <headerFooter>
    <oddFooter>&amp;L&amp;"Times New Roman,Regular"&amp;10&amp;B&amp;K00BFFFNOIBO</oddFooter>
    <evenFooter>&amp;L&amp;"Times New Roman,Regular"&amp;10&amp;B&amp;K00BFFFNOIBO</evenFooter>
    <firstFooter>&amp;L&amp;"Times New Roman,Regular"&amp;10&amp;B&amp;K00BFFFNOIBO</first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E5991-D3F6-418F-A131-34792B629FC4}">
  <sheetPr>
    <pageSetUpPr autoPageBreaks="0" fitToPage="1"/>
  </sheetPr>
  <dimension ref="B1:S10"/>
  <sheetViews>
    <sheetView showGridLines="0" tabSelected="1" view="pageBreakPreview" zoomScale="90" zoomScaleNormal="100" zoomScaleSheetLayoutView="90" workbookViewId="0">
      <pane xSplit="5" ySplit="4" topLeftCell="N5" activePane="bottomRight" state="frozen"/>
      <selection activeCell="I31" sqref="I31"/>
      <selection pane="topRight" activeCell="I31" sqref="I31"/>
      <selection pane="bottomLeft" activeCell="I31" sqref="I31"/>
      <selection pane="bottomRight" activeCell="I31" sqref="I31"/>
    </sheetView>
  </sheetViews>
  <sheetFormatPr defaultColWidth="8.625" defaultRowHeight="14.25" x14ac:dyDescent="0.2"/>
  <cols>
    <col min="1" max="1" width="3.625" customWidth="1"/>
    <col min="2" max="2" width="6.125" customWidth="1"/>
    <col min="3" max="3" width="12.625" bestFit="1" customWidth="1"/>
    <col min="4" max="4" width="12.625" customWidth="1"/>
    <col min="5" max="5" width="38.125" customWidth="1"/>
    <col min="6" max="6" width="18.625" customWidth="1"/>
    <col min="7" max="7" width="21.125" customWidth="1"/>
    <col min="8" max="9" width="17.125" customWidth="1"/>
    <col min="10" max="10" width="19.75" customWidth="1"/>
    <col min="11" max="11" width="20.375" customWidth="1"/>
    <col min="12" max="16" width="17.125" customWidth="1"/>
    <col min="17" max="17" width="18.625" customWidth="1"/>
    <col min="18" max="18" width="8.5" customWidth="1"/>
    <col min="19" max="19" width="18.625" customWidth="1"/>
    <col min="20" max="20" width="9.875" customWidth="1"/>
  </cols>
  <sheetData>
    <row r="1" spans="2:19" ht="19.5" customHeight="1" x14ac:dyDescent="0.2">
      <c r="B1" s="9" t="s">
        <v>40</v>
      </c>
    </row>
    <row r="2" spans="2:19" ht="19.5" customHeight="1" x14ac:dyDescent="0.2">
      <c r="B2" s="11" t="s">
        <v>41</v>
      </c>
    </row>
    <row r="3" spans="2:19" ht="30" customHeight="1" x14ac:dyDescent="0.2">
      <c r="B3" s="91" t="s">
        <v>42</v>
      </c>
      <c r="C3" s="91"/>
      <c r="D3" s="91"/>
      <c r="E3" s="91"/>
      <c r="F3" s="91" t="s">
        <v>13</v>
      </c>
      <c r="G3" s="91"/>
      <c r="H3" s="91"/>
      <c r="I3" s="91"/>
      <c r="J3" s="91"/>
      <c r="K3" s="91"/>
      <c r="L3" s="91"/>
      <c r="M3" s="91"/>
      <c r="N3" s="91"/>
      <c r="O3" s="91"/>
      <c r="P3" s="91"/>
      <c r="Q3" s="91"/>
      <c r="R3" s="28"/>
      <c r="S3" s="25"/>
    </row>
    <row r="4" spans="2:19" s="1" customFormat="1" ht="24" customHeight="1" x14ac:dyDescent="0.2">
      <c r="B4" s="12" t="s">
        <v>11</v>
      </c>
      <c r="C4" s="12" t="s">
        <v>43</v>
      </c>
      <c r="D4" s="12" t="s">
        <v>44</v>
      </c>
      <c r="E4" s="12" t="s">
        <v>45</v>
      </c>
      <c r="F4" s="12" t="s">
        <v>18</v>
      </c>
      <c r="G4" s="12" t="s">
        <v>21</v>
      </c>
      <c r="H4" s="12" t="s">
        <v>24</v>
      </c>
      <c r="I4" s="53" t="s">
        <v>93</v>
      </c>
      <c r="J4" s="62" t="s">
        <v>101</v>
      </c>
      <c r="K4" s="62" t="s">
        <v>102</v>
      </c>
      <c r="L4" s="62" t="s">
        <v>104</v>
      </c>
      <c r="M4" s="62" t="s">
        <v>105</v>
      </c>
      <c r="N4" s="62" t="s">
        <v>110</v>
      </c>
      <c r="O4" s="62" t="s">
        <v>112</v>
      </c>
      <c r="P4" s="62" t="s">
        <v>217</v>
      </c>
      <c r="Q4" s="12" t="s">
        <v>28</v>
      </c>
      <c r="R4" s="28"/>
      <c r="S4" s="26"/>
    </row>
    <row r="5" spans="2:19" ht="24" customHeight="1" x14ac:dyDescent="0.2">
      <c r="B5" s="23">
        <f>ROW()-4</f>
        <v>1</v>
      </c>
      <c r="C5" s="23" t="s">
        <v>76</v>
      </c>
      <c r="D5" s="23" t="s">
        <v>46</v>
      </c>
      <c r="E5" s="18" t="s">
        <v>116</v>
      </c>
      <c r="F5" s="23" t="s">
        <v>39</v>
      </c>
      <c r="G5" s="23" t="s">
        <v>39</v>
      </c>
      <c r="H5" s="23" t="s">
        <v>39</v>
      </c>
      <c r="I5" s="23" t="s">
        <v>39</v>
      </c>
      <c r="J5" s="23"/>
      <c r="K5" s="23"/>
      <c r="L5" s="23" t="s">
        <v>39</v>
      </c>
      <c r="M5" s="23"/>
      <c r="N5" s="23"/>
      <c r="O5" s="23"/>
      <c r="P5" s="23"/>
      <c r="Q5" s="24" t="s">
        <v>39</v>
      </c>
      <c r="R5" s="29"/>
      <c r="S5" s="2"/>
    </row>
    <row r="6" spans="2:19" ht="24" customHeight="1" x14ac:dyDescent="0.2">
      <c r="B6" s="23">
        <f>ROW()-4</f>
        <v>2</v>
      </c>
      <c r="C6" s="23" t="s">
        <v>76</v>
      </c>
      <c r="D6" s="23" t="s">
        <v>46</v>
      </c>
      <c r="E6" s="18" t="s">
        <v>117</v>
      </c>
      <c r="F6" s="23" t="s">
        <v>39</v>
      </c>
      <c r="G6" s="23" t="s">
        <v>39</v>
      </c>
      <c r="H6" s="23" t="s">
        <v>39</v>
      </c>
      <c r="I6" s="23" t="s">
        <v>39</v>
      </c>
      <c r="J6" s="23"/>
      <c r="K6" s="23"/>
      <c r="L6" s="23" t="s">
        <v>39</v>
      </c>
      <c r="M6" s="23"/>
      <c r="N6" s="23"/>
      <c r="O6" s="23"/>
      <c r="P6" s="23"/>
      <c r="Q6" s="24" t="s">
        <v>39</v>
      </c>
      <c r="R6" s="29"/>
      <c r="S6" s="2"/>
    </row>
    <row r="7" spans="2:19" ht="24" customHeight="1" x14ac:dyDescent="0.2">
      <c r="B7" s="23">
        <f>ROW()-4</f>
        <v>3</v>
      </c>
      <c r="C7" s="23" t="s">
        <v>76</v>
      </c>
      <c r="D7" s="23" t="s">
        <v>46</v>
      </c>
      <c r="E7" s="18" t="s">
        <v>118</v>
      </c>
      <c r="F7" s="23" t="s">
        <v>39</v>
      </c>
      <c r="G7" s="23" t="s">
        <v>39</v>
      </c>
      <c r="H7" s="23" t="s">
        <v>39</v>
      </c>
      <c r="I7" s="23" t="s">
        <v>39</v>
      </c>
      <c r="J7" s="23" t="s">
        <v>39</v>
      </c>
      <c r="K7" s="23" t="s">
        <v>39</v>
      </c>
      <c r="L7" s="23" t="s">
        <v>39</v>
      </c>
      <c r="M7" s="23" t="s">
        <v>39</v>
      </c>
      <c r="N7" s="23" t="s">
        <v>39</v>
      </c>
      <c r="O7" s="23" t="s">
        <v>39</v>
      </c>
      <c r="P7" s="23" t="s">
        <v>39</v>
      </c>
      <c r="Q7" s="24" t="s">
        <v>39</v>
      </c>
      <c r="R7" s="29"/>
      <c r="S7" s="2"/>
    </row>
    <row r="8" spans="2:19" ht="24" customHeight="1" x14ac:dyDescent="0.2">
      <c r="B8" s="23">
        <f>ROW()-4</f>
        <v>4</v>
      </c>
      <c r="C8" s="23" t="s">
        <v>76</v>
      </c>
      <c r="D8" s="23" t="s">
        <v>46</v>
      </c>
      <c r="E8" s="18" t="s">
        <v>119</v>
      </c>
      <c r="F8" s="23" t="s">
        <v>39</v>
      </c>
      <c r="G8" s="23" t="s">
        <v>39</v>
      </c>
      <c r="H8" s="23" t="s">
        <v>39</v>
      </c>
      <c r="I8" s="23" t="s">
        <v>39</v>
      </c>
      <c r="J8" s="23" t="s">
        <v>39</v>
      </c>
      <c r="K8" s="23"/>
      <c r="L8" s="23"/>
      <c r="M8" s="23"/>
      <c r="N8" s="23"/>
      <c r="O8" s="23"/>
      <c r="P8" s="23"/>
      <c r="Q8" s="24" t="s">
        <v>39</v>
      </c>
      <c r="R8" s="29"/>
      <c r="S8" s="2"/>
    </row>
    <row r="10" spans="2:19" x14ac:dyDescent="0.2">
      <c r="F10" s="16"/>
      <c r="G10" s="16"/>
      <c r="H10" s="16"/>
      <c r="I10" s="16"/>
      <c r="J10" s="16"/>
      <c r="K10" s="16"/>
      <c r="L10" s="16"/>
      <c r="M10" s="16"/>
      <c r="N10" s="16"/>
      <c r="O10" s="16"/>
      <c r="P10" s="16"/>
    </row>
  </sheetData>
  <mergeCells count="2">
    <mergeCell ref="B3:E3"/>
    <mergeCell ref="F3:Q3"/>
  </mergeCells>
  <printOptions horizontalCentered="1"/>
  <pageMargins left="0.70866141732283472" right="0.70866141732283472" top="0.74803149606299213" bottom="0.74803149606299213" header="0.31496062992125984" footer="0.31496062992125984"/>
  <pageSetup paperSize="9" scale="39" orientation="landscape" r:id="rId1"/>
  <headerFooter>
    <oddFooter>&amp;L&amp;"Times New Roman,Regular"&amp;10&amp;B&amp;K00BFFFNOIBO</oddFooter>
    <evenFooter>&amp;L&amp;"Times New Roman,Regular"&amp;10&amp;B&amp;K00BFFFNOIBO</evenFooter>
    <firstFooter>&amp;L&amp;"Times New Roman,Regular"&amp;10&amp;B&amp;K00BFFFNOIBO</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2459C-FD4B-484B-83A6-C14A391F8B04}">
  <sheetPr>
    <pageSetUpPr autoPageBreaks="0"/>
  </sheetPr>
  <dimension ref="A1:A7"/>
  <sheetViews>
    <sheetView workbookViewId="0">
      <selection sqref="A1:A7"/>
    </sheetView>
  </sheetViews>
  <sheetFormatPr defaultColWidth="8.875" defaultRowHeight="14.25" x14ac:dyDescent="0.2"/>
  <cols>
    <col min="1" max="1" width="20.875" customWidth="1"/>
  </cols>
  <sheetData>
    <row r="1" spans="1:1" x14ac:dyDescent="0.2">
      <c r="A1" s="19" t="s">
        <v>18</v>
      </c>
    </row>
    <row r="2" spans="1:1" x14ac:dyDescent="0.2">
      <c r="A2" s="19" t="s">
        <v>47</v>
      </c>
    </row>
    <row r="3" spans="1:1" x14ac:dyDescent="0.2">
      <c r="A3" s="19" t="s">
        <v>48</v>
      </c>
    </row>
    <row r="4" spans="1:1" x14ac:dyDescent="0.2">
      <c r="A4" s="19" t="s">
        <v>49</v>
      </c>
    </row>
    <row r="5" spans="1:1" x14ac:dyDescent="0.2">
      <c r="A5" s="19" t="s">
        <v>28</v>
      </c>
    </row>
    <row r="6" spans="1:1" x14ac:dyDescent="0.2">
      <c r="A6" s="30" t="s">
        <v>24</v>
      </c>
    </row>
    <row r="7" spans="1:1" x14ac:dyDescent="0.2">
      <c r="A7" s="30" t="s">
        <v>21</v>
      </c>
    </row>
  </sheetData>
  <pageMargins left="0.7" right="0.7" top="0.75" bottom="0.75" header="0.3" footer="0.3"/>
  <pageSetup paperSize="9" orientation="portrait" horizontalDpi="300" verticalDpi="300" r:id="rId1"/>
  <headerFooter>
    <oddFooter>&amp;L&amp;"Times New Roman,Regular"&amp;10&amp;B&amp;K00BFFFNOIBO</oddFooter>
    <evenFooter>&amp;L&amp;"Times New Roman,Regular"&amp;10&amp;B&amp;K00BFFFNOIBO</evenFooter>
    <firstFooter>&amp;L&amp;"Times New Roman,Regular"&amp;10&amp;B&amp;K00BFFFNOIBO</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C29EF-F8EC-485A-B9F4-58E01471F3E6}">
  <sheetPr>
    <pageSetUpPr autoPageBreaks="0" fitToPage="1"/>
  </sheetPr>
  <dimension ref="B1:I48"/>
  <sheetViews>
    <sheetView showGridLines="0" tabSelected="1" view="pageBreakPreview" zoomScale="70" zoomScaleNormal="100" zoomScaleSheetLayoutView="70" workbookViewId="0">
      <selection activeCell="I31" sqref="I31"/>
    </sheetView>
  </sheetViews>
  <sheetFormatPr defaultColWidth="8.625" defaultRowHeight="14.25" x14ac:dyDescent="0.2"/>
  <cols>
    <col min="1" max="1" width="3.625" style="10" customWidth="1"/>
    <col min="2" max="2" width="5.125" style="10" customWidth="1"/>
    <col min="3" max="3" width="12.375" style="10" bestFit="1" customWidth="1"/>
    <col min="4" max="4" width="21.375" style="10" customWidth="1"/>
    <col min="5" max="5" width="57.875" style="21" bestFit="1" customWidth="1"/>
    <col min="6" max="6" width="57.125" style="10" bestFit="1" customWidth="1"/>
    <col min="7" max="7" width="18.125" style="10" customWidth="1"/>
    <col min="8" max="8" width="16.125" style="10" customWidth="1"/>
    <col min="9" max="9" width="24.875" style="10" customWidth="1"/>
    <col min="10" max="16384" width="8.625" style="10"/>
  </cols>
  <sheetData>
    <row r="1" spans="2:9" ht="43.5" customHeight="1" x14ac:dyDescent="0.2">
      <c r="B1" s="9" t="s">
        <v>50</v>
      </c>
    </row>
    <row r="2" spans="2:9" s="2" customFormat="1" ht="27" customHeight="1" x14ac:dyDescent="0.2">
      <c r="B2" s="4" t="s">
        <v>11</v>
      </c>
      <c r="C2" s="4" t="s">
        <v>51</v>
      </c>
      <c r="D2" s="4" t="s">
        <v>52</v>
      </c>
      <c r="E2" s="5" t="s">
        <v>53</v>
      </c>
      <c r="F2" s="4" t="s">
        <v>54</v>
      </c>
      <c r="G2" s="4" t="s">
        <v>13</v>
      </c>
      <c r="H2" s="4" t="s">
        <v>55</v>
      </c>
      <c r="I2" s="4" t="s">
        <v>56</v>
      </c>
    </row>
    <row r="3" spans="2:9" s="20" customFormat="1" ht="33" customHeight="1" x14ac:dyDescent="0.2">
      <c r="B3" s="23">
        <f t="shared" ref="B3:B48" si="0">ROW()-2</f>
        <v>1</v>
      </c>
      <c r="C3" s="40" t="s">
        <v>77</v>
      </c>
      <c r="D3" s="41" t="s">
        <v>78</v>
      </c>
      <c r="E3" s="41" t="s">
        <v>79</v>
      </c>
      <c r="F3" s="41" t="s">
        <v>80</v>
      </c>
      <c r="G3" s="32" t="s">
        <v>57</v>
      </c>
      <c r="H3" s="23" t="s">
        <v>58</v>
      </c>
      <c r="I3" s="19"/>
    </row>
    <row r="4" spans="2:9" s="20" customFormat="1" ht="33" customHeight="1" x14ac:dyDescent="0.2">
      <c r="B4" s="23">
        <f t="shared" si="0"/>
        <v>2</v>
      </c>
      <c r="C4" s="70" t="s">
        <v>124</v>
      </c>
      <c r="D4" s="71" t="s">
        <v>128</v>
      </c>
      <c r="E4" s="43" t="s">
        <v>94</v>
      </c>
      <c r="F4" s="43" t="s">
        <v>90</v>
      </c>
      <c r="G4" s="44" t="s">
        <v>93</v>
      </c>
      <c r="H4" s="23" t="s">
        <v>58</v>
      </c>
      <c r="I4" s="19"/>
    </row>
    <row r="5" spans="2:9" s="20" customFormat="1" ht="33" customHeight="1" x14ac:dyDescent="0.2">
      <c r="B5" s="23">
        <f t="shared" si="0"/>
        <v>3</v>
      </c>
      <c r="C5" s="70" t="s">
        <v>125</v>
      </c>
      <c r="D5" s="71" t="s">
        <v>129</v>
      </c>
      <c r="E5" s="43" t="s">
        <v>94</v>
      </c>
      <c r="F5" s="43" t="s">
        <v>90</v>
      </c>
      <c r="G5" s="44" t="s">
        <v>93</v>
      </c>
      <c r="H5" s="23" t="s">
        <v>58</v>
      </c>
      <c r="I5" s="19"/>
    </row>
    <row r="6" spans="2:9" s="20" customFormat="1" ht="33" customHeight="1" x14ac:dyDescent="0.2">
      <c r="B6" s="23">
        <f t="shared" si="0"/>
        <v>4</v>
      </c>
      <c r="C6" s="70" t="s">
        <v>126</v>
      </c>
      <c r="D6" s="71" t="s">
        <v>130</v>
      </c>
      <c r="E6" s="34" t="s">
        <v>84</v>
      </c>
      <c r="F6" s="41" t="s">
        <v>80</v>
      </c>
      <c r="G6" s="44" t="s">
        <v>93</v>
      </c>
      <c r="H6" s="23" t="s">
        <v>58</v>
      </c>
      <c r="I6" s="19"/>
    </row>
    <row r="7" spans="2:9" s="20" customFormat="1" ht="33" customHeight="1" x14ac:dyDescent="0.2">
      <c r="B7" s="23">
        <f t="shared" si="0"/>
        <v>5</v>
      </c>
      <c r="C7" s="70" t="s">
        <v>127</v>
      </c>
      <c r="D7" s="71" t="s">
        <v>131</v>
      </c>
      <c r="E7" s="56" t="s">
        <v>96</v>
      </c>
      <c r="F7" s="41" t="s">
        <v>80</v>
      </c>
      <c r="G7" s="44" t="s">
        <v>93</v>
      </c>
      <c r="H7" s="23" t="s">
        <v>58</v>
      </c>
      <c r="I7" s="19"/>
    </row>
    <row r="8" spans="2:9" s="20" customFormat="1" ht="33" customHeight="1" x14ac:dyDescent="0.2">
      <c r="B8" s="23">
        <f t="shared" si="0"/>
        <v>6</v>
      </c>
      <c r="C8" s="42" t="s">
        <v>81</v>
      </c>
      <c r="D8" s="43" t="s">
        <v>82</v>
      </c>
      <c r="E8" s="43" t="s">
        <v>83</v>
      </c>
      <c r="F8" s="41" t="s">
        <v>80</v>
      </c>
      <c r="G8" s="44" t="s">
        <v>93</v>
      </c>
      <c r="H8" s="23" t="s">
        <v>58</v>
      </c>
      <c r="I8" s="19"/>
    </row>
    <row r="9" spans="2:9" s="20" customFormat="1" ht="33" customHeight="1" x14ac:dyDescent="0.2">
      <c r="B9" s="23">
        <f t="shared" si="0"/>
        <v>7</v>
      </c>
      <c r="C9" s="42" t="s">
        <v>88</v>
      </c>
      <c r="D9" s="43" t="s">
        <v>89</v>
      </c>
      <c r="E9" s="43" t="s">
        <v>94</v>
      </c>
      <c r="F9" s="43" t="s">
        <v>90</v>
      </c>
      <c r="G9" s="44" t="s">
        <v>93</v>
      </c>
      <c r="H9" s="23" t="s">
        <v>58</v>
      </c>
      <c r="I9" s="19"/>
    </row>
    <row r="10" spans="2:9" s="20" customFormat="1" ht="33" customHeight="1" x14ac:dyDescent="0.2">
      <c r="B10" s="23">
        <f t="shared" si="0"/>
        <v>8</v>
      </c>
      <c r="C10" s="57" t="s">
        <v>213</v>
      </c>
      <c r="D10" s="56" t="s">
        <v>214</v>
      </c>
      <c r="E10" s="56" t="s">
        <v>230</v>
      </c>
      <c r="F10" s="43" t="s">
        <v>90</v>
      </c>
      <c r="G10" s="44" t="s">
        <v>93</v>
      </c>
      <c r="H10" s="23" t="s">
        <v>58</v>
      </c>
      <c r="I10" s="19"/>
    </row>
    <row r="11" spans="2:9" s="20" customFormat="1" ht="33" customHeight="1" x14ac:dyDescent="0.2">
      <c r="B11" s="23">
        <f t="shared" si="0"/>
        <v>9</v>
      </c>
      <c r="C11" s="33" t="s">
        <v>85</v>
      </c>
      <c r="D11" s="43" t="s">
        <v>86</v>
      </c>
      <c r="E11" s="34" t="s">
        <v>84</v>
      </c>
      <c r="F11" s="41" t="s">
        <v>80</v>
      </c>
      <c r="G11" s="44" t="s">
        <v>93</v>
      </c>
      <c r="H11" s="23" t="s">
        <v>58</v>
      </c>
      <c r="I11" s="19"/>
    </row>
    <row r="12" spans="2:9" s="20" customFormat="1" ht="33" customHeight="1" x14ac:dyDescent="0.2">
      <c r="B12" s="23">
        <f t="shared" si="0"/>
        <v>10</v>
      </c>
      <c r="C12" s="57" t="s">
        <v>97</v>
      </c>
      <c r="D12" s="56" t="s">
        <v>98</v>
      </c>
      <c r="E12" s="56" t="s">
        <v>84</v>
      </c>
      <c r="F12" s="58" t="s">
        <v>80</v>
      </c>
      <c r="G12" s="59" t="s">
        <v>93</v>
      </c>
      <c r="H12" s="23" t="s">
        <v>58</v>
      </c>
      <c r="I12" s="19"/>
    </row>
    <row r="13" spans="2:9" ht="33" customHeight="1" x14ac:dyDescent="0.2">
      <c r="B13" s="23">
        <f t="shared" si="0"/>
        <v>11</v>
      </c>
      <c r="C13" s="57" t="s">
        <v>120</v>
      </c>
      <c r="D13" s="56" t="s">
        <v>121</v>
      </c>
      <c r="E13" s="34" t="s">
        <v>87</v>
      </c>
      <c r="F13" s="41" t="s">
        <v>80</v>
      </c>
      <c r="G13" s="44" t="s">
        <v>93</v>
      </c>
      <c r="H13" s="23" t="s">
        <v>58</v>
      </c>
      <c r="I13" s="19"/>
    </row>
    <row r="14" spans="2:9" s="20" customFormat="1" ht="33" customHeight="1" x14ac:dyDescent="0.2">
      <c r="B14" s="23">
        <f t="shared" si="0"/>
        <v>12</v>
      </c>
      <c r="C14" s="42" t="s">
        <v>91</v>
      </c>
      <c r="D14" s="43" t="s">
        <v>92</v>
      </c>
      <c r="E14" s="34" t="s">
        <v>84</v>
      </c>
      <c r="F14" s="41" t="s">
        <v>80</v>
      </c>
      <c r="G14" s="44" t="s">
        <v>93</v>
      </c>
      <c r="H14" s="23" t="s">
        <v>58</v>
      </c>
      <c r="I14" s="19"/>
    </row>
    <row r="15" spans="2:9" s="20" customFormat="1" ht="33" customHeight="1" x14ac:dyDescent="0.2">
      <c r="B15" s="23">
        <f t="shared" si="0"/>
        <v>13</v>
      </c>
      <c r="C15" s="57" t="s">
        <v>122</v>
      </c>
      <c r="D15" s="56" t="s">
        <v>123</v>
      </c>
      <c r="E15" s="34" t="s">
        <v>84</v>
      </c>
      <c r="F15" s="41" t="s">
        <v>80</v>
      </c>
      <c r="G15" s="44" t="s">
        <v>93</v>
      </c>
      <c r="H15" s="23" t="s">
        <v>58</v>
      </c>
      <c r="I15" s="19"/>
    </row>
    <row r="16" spans="2:9" s="20" customFormat="1" ht="33" customHeight="1" x14ac:dyDescent="0.2">
      <c r="B16" s="23">
        <f t="shared" si="0"/>
        <v>14</v>
      </c>
      <c r="C16" s="57" t="s">
        <v>132</v>
      </c>
      <c r="D16" s="56" t="s">
        <v>133</v>
      </c>
      <c r="E16" s="34" t="s">
        <v>134</v>
      </c>
      <c r="F16" s="69" t="s">
        <v>135</v>
      </c>
      <c r="G16" s="44" t="s">
        <v>101</v>
      </c>
      <c r="H16" s="23" t="s">
        <v>58</v>
      </c>
      <c r="I16" s="19"/>
    </row>
    <row r="17" spans="2:9" s="20" customFormat="1" ht="33" customHeight="1" x14ac:dyDescent="0.2">
      <c r="B17" s="23">
        <f t="shared" si="0"/>
        <v>15</v>
      </c>
      <c r="C17" s="57" t="s">
        <v>136</v>
      </c>
      <c r="D17" s="56" t="s">
        <v>137</v>
      </c>
      <c r="E17" s="34" t="s">
        <v>138</v>
      </c>
      <c r="F17" s="69" t="s">
        <v>139</v>
      </c>
      <c r="G17" s="44" t="s">
        <v>101</v>
      </c>
      <c r="H17" s="23" t="s">
        <v>58</v>
      </c>
      <c r="I17" s="19"/>
    </row>
    <row r="18" spans="2:9" s="20" customFormat="1" ht="33" customHeight="1" x14ac:dyDescent="0.2">
      <c r="B18" s="23">
        <f t="shared" si="0"/>
        <v>16</v>
      </c>
      <c r="C18" s="57" t="s">
        <v>140</v>
      </c>
      <c r="D18" s="56" t="s">
        <v>141</v>
      </c>
      <c r="E18" s="34" t="s">
        <v>142</v>
      </c>
      <c r="F18" s="69" t="s">
        <v>139</v>
      </c>
      <c r="G18" s="44" t="s">
        <v>101</v>
      </c>
      <c r="H18" s="23" t="s">
        <v>58</v>
      </c>
      <c r="I18" s="19"/>
    </row>
    <row r="19" spans="2:9" s="20" customFormat="1" ht="33" customHeight="1" x14ac:dyDescent="0.2">
      <c r="B19" s="23">
        <f t="shared" si="0"/>
        <v>17</v>
      </c>
      <c r="C19" s="57" t="s">
        <v>143</v>
      </c>
      <c r="D19" s="56" t="s">
        <v>144</v>
      </c>
      <c r="E19" s="34" t="s">
        <v>145</v>
      </c>
      <c r="F19" s="69" t="s">
        <v>146</v>
      </c>
      <c r="G19" s="44" t="s">
        <v>102</v>
      </c>
      <c r="H19" s="23" t="s">
        <v>58</v>
      </c>
      <c r="I19" s="19"/>
    </row>
    <row r="20" spans="2:9" s="20" customFormat="1" ht="33" customHeight="1" x14ac:dyDescent="0.2">
      <c r="B20" s="23">
        <f t="shared" si="0"/>
        <v>18</v>
      </c>
      <c r="C20" s="57" t="s">
        <v>147</v>
      </c>
      <c r="D20" s="56" t="s">
        <v>148</v>
      </c>
      <c r="E20" s="34" t="s">
        <v>149</v>
      </c>
      <c r="F20" s="69" t="s">
        <v>146</v>
      </c>
      <c r="G20" s="44" t="s">
        <v>102</v>
      </c>
      <c r="H20" s="23" t="s">
        <v>58</v>
      </c>
      <c r="I20" s="19"/>
    </row>
    <row r="21" spans="2:9" s="20" customFormat="1" ht="33" customHeight="1" x14ac:dyDescent="0.2">
      <c r="B21" s="23">
        <f t="shared" si="0"/>
        <v>19</v>
      </c>
      <c r="C21" s="57" t="s">
        <v>150</v>
      </c>
      <c r="D21" s="56" t="s">
        <v>151</v>
      </c>
      <c r="E21" s="34" t="s">
        <v>152</v>
      </c>
      <c r="F21" s="69" t="s">
        <v>153</v>
      </c>
      <c r="G21" s="44" t="s">
        <v>104</v>
      </c>
      <c r="H21" s="23" t="s">
        <v>58</v>
      </c>
      <c r="I21" s="19"/>
    </row>
    <row r="22" spans="2:9" s="20" customFormat="1" ht="33" customHeight="1" x14ac:dyDescent="0.2">
      <c r="B22" s="23">
        <f t="shared" si="0"/>
        <v>20</v>
      </c>
      <c r="C22" s="57" t="s">
        <v>154</v>
      </c>
      <c r="D22" s="56" t="s">
        <v>155</v>
      </c>
      <c r="E22" s="34" t="s">
        <v>156</v>
      </c>
      <c r="F22" s="69" t="s">
        <v>153</v>
      </c>
      <c r="G22" s="44" t="s">
        <v>104</v>
      </c>
      <c r="H22" s="23" t="s">
        <v>58</v>
      </c>
      <c r="I22" s="19"/>
    </row>
    <row r="23" spans="2:9" s="20" customFormat="1" ht="33" customHeight="1" x14ac:dyDescent="0.2">
      <c r="B23" s="23">
        <f t="shared" si="0"/>
        <v>21</v>
      </c>
      <c r="C23" s="57" t="s">
        <v>157</v>
      </c>
      <c r="D23" s="56" t="s">
        <v>158</v>
      </c>
      <c r="E23" s="34" t="s">
        <v>159</v>
      </c>
      <c r="F23" s="69" t="s">
        <v>153</v>
      </c>
      <c r="G23" s="44" t="s">
        <v>104</v>
      </c>
      <c r="H23" s="23" t="s">
        <v>58</v>
      </c>
      <c r="I23" s="19"/>
    </row>
    <row r="24" spans="2:9" s="20" customFormat="1" ht="33" customHeight="1" x14ac:dyDescent="0.2">
      <c r="B24" s="23">
        <f t="shared" si="0"/>
        <v>22</v>
      </c>
      <c r="C24" s="57" t="s">
        <v>160</v>
      </c>
      <c r="D24" s="56" t="s">
        <v>161</v>
      </c>
      <c r="E24" s="34" t="s">
        <v>162</v>
      </c>
      <c r="F24" s="69" t="s">
        <v>153</v>
      </c>
      <c r="G24" s="44" t="s">
        <v>104</v>
      </c>
      <c r="H24" s="23" t="s">
        <v>58</v>
      </c>
      <c r="I24" s="19"/>
    </row>
    <row r="25" spans="2:9" s="20" customFormat="1" ht="33" customHeight="1" x14ac:dyDescent="0.2">
      <c r="B25" s="23">
        <f t="shared" si="0"/>
        <v>23</v>
      </c>
      <c r="C25" s="57" t="s">
        <v>163</v>
      </c>
      <c r="D25" s="56" t="s">
        <v>164</v>
      </c>
      <c r="E25" s="34" t="s">
        <v>152</v>
      </c>
      <c r="F25" s="69" t="s">
        <v>153</v>
      </c>
      <c r="G25" s="44" t="s">
        <v>104</v>
      </c>
      <c r="H25" s="23" t="s">
        <v>58</v>
      </c>
      <c r="I25" s="19"/>
    </row>
    <row r="26" spans="2:9" s="20" customFormat="1" ht="33" customHeight="1" x14ac:dyDescent="0.2">
      <c r="B26" s="23">
        <f t="shared" si="0"/>
        <v>24</v>
      </c>
      <c r="C26" s="57" t="s">
        <v>165</v>
      </c>
      <c r="D26" s="56" t="s">
        <v>166</v>
      </c>
      <c r="E26" s="34" t="s">
        <v>156</v>
      </c>
      <c r="F26" s="69" t="s">
        <v>153</v>
      </c>
      <c r="G26" s="44" t="s">
        <v>104</v>
      </c>
      <c r="H26" s="23" t="s">
        <v>58</v>
      </c>
      <c r="I26" s="19"/>
    </row>
    <row r="27" spans="2:9" s="20" customFormat="1" ht="33" customHeight="1" x14ac:dyDescent="0.2">
      <c r="B27" s="23">
        <f t="shared" si="0"/>
        <v>25</v>
      </c>
      <c r="C27" s="57" t="s">
        <v>167</v>
      </c>
      <c r="D27" s="56" t="s">
        <v>168</v>
      </c>
      <c r="E27" s="34" t="s">
        <v>162</v>
      </c>
      <c r="F27" s="69" t="s">
        <v>153</v>
      </c>
      <c r="G27" s="44" t="s">
        <v>104</v>
      </c>
      <c r="H27" s="23" t="s">
        <v>58</v>
      </c>
      <c r="I27" s="19"/>
    </row>
    <row r="28" spans="2:9" s="20" customFormat="1" ht="33" customHeight="1" x14ac:dyDescent="0.2">
      <c r="B28" s="23">
        <f t="shared" si="0"/>
        <v>26</v>
      </c>
      <c r="C28" s="57" t="s">
        <v>169</v>
      </c>
      <c r="D28" s="56" t="s">
        <v>170</v>
      </c>
      <c r="E28" s="34" t="s">
        <v>171</v>
      </c>
      <c r="F28" s="69" t="s">
        <v>153</v>
      </c>
      <c r="G28" s="44" t="s">
        <v>104</v>
      </c>
      <c r="H28" s="23" t="s">
        <v>58</v>
      </c>
      <c r="I28" s="19"/>
    </row>
    <row r="29" spans="2:9" s="20" customFormat="1" ht="33" customHeight="1" x14ac:dyDescent="0.2">
      <c r="B29" s="23">
        <f t="shared" si="0"/>
        <v>27</v>
      </c>
      <c r="C29" s="57" t="s">
        <v>172</v>
      </c>
      <c r="D29" s="56" t="s">
        <v>173</v>
      </c>
      <c r="E29" s="34" t="s">
        <v>171</v>
      </c>
      <c r="F29" s="69" t="s">
        <v>153</v>
      </c>
      <c r="G29" s="44" t="s">
        <v>104</v>
      </c>
      <c r="H29" s="23" t="s">
        <v>58</v>
      </c>
      <c r="I29" s="19"/>
    </row>
    <row r="30" spans="2:9" s="20" customFormat="1" ht="33" customHeight="1" x14ac:dyDescent="0.2">
      <c r="B30" s="23">
        <f t="shared" si="0"/>
        <v>28</v>
      </c>
      <c r="C30" s="57" t="s">
        <v>174</v>
      </c>
      <c r="D30" s="56" t="s">
        <v>175</v>
      </c>
      <c r="E30" s="34" t="s">
        <v>162</v>
      </c>
      <c r="F30" s="69" t="s">
        <v>153</v>
      </c>
      <c r="G30" s="44" t="s">
        <v>104</v>
      </c>
      <c r="H30" s="23" t="s">
        <v>58</v>
      </c>
      <c r="I30" s="19"/>
    </row>
    <row r="31" spans="2:9" s="20" customFormat="1" ht="33" customHeight="1" x14ac:dyDescent="0.2">
      <c r="B31" s="23">
        <f t="shared" si="0"/>
        <v>29</v>
      </c>
      <c r="C31" s="57" t="s">
        <v>176</v>
      </c>
      <c r="D31" s="56" t="s">
        <v>177</v>
      </c>
      <c r="E31" s="34" t="s">
        <v>162</v>
      </c>
      <c r="F31" s="69" t="s">
        <v>153</v>
      </c>
      <c r="G31" s="44" t="s">
        <v>104</v>
      </c>
      <c r="H31" s="23" t="s">
        <v>58</v>
      </c>
      <c r="I31" s="19"/>
    </row>
    <row r="32" spans="2:9" s="20" customFormat="1" ht="33" customHeight="1" x14ac:dyDescent="0.2">
      <c r="B32" s="23">
        <f t="shared" si="0"/>
        <v>30</v>
      </c>
      <c r="C32" s="57" t="s">
        <v>178</v>
      </c>
      <c r="D32" s="56" t="s">
        <v>179</v>
      </c>
      <c r="E32" s="34" t="s">
        <v>156</v>
      </c>
      <c r="F32" s="69" t="s">
        <v>153</v>
      </c>
      <c r="G32" s="44" t="s">
        <v>104</v>
      </c>
      <c r="H32" s="23" t="s">
        <v>58</v>
      </c>
      <c r="I32" s="19"/>
    </row>
    <row r="33" spans="2:9" s="20" customFormat="1" ht="33" customHeight="1" x14ac:dyDescent="0.2">
      <c r="B33" s="23">
        <f t="shared" si="0"/>
        <v>31</v>
      </c>
      <c r="C33" s="57" t="s">
        <v>180</v>
      </c>
      <c r="D33" s="56" t="s">
        <v>181</v>
      </c>
      <c r="E33" s="34" t="s">
        <v>182</v>
      </c>
      <c r="F33" s="69" t="s">
        <v>153</v>
      </c>
      <c r="G33" s="44" t="s">
        <v>104</v>
      </c>
      <c r="H33" s="23" t="s">
        <v>58</v>
      </c>
      <c r="I33" s="19"/>
    </row>
    <row r="34" spans="2:9" s="20" customFormat="1" ht="33" customHeight="1" x14ac:dyDescent="0.2">
      <c r="B34" s="23">
        <f t="shared" si="0"/>
        <v>32</v>
      </c>
      <c r="C34" s="57" t="s">
        <v>183</v>
      </c>
      <c r="D34" s="56" t="s">
        <v>184</v>
      </c>
      <c r="E34" s="34" t="s">
        <v>156</v>
      </c>
      <c r="F34" s="69" t="s">
        <v>153</v>
      </c>
      <c r="G34" s="44" t="s">
        <v>104</v>
      </c>
      <c r="H34" s="23" t="s">
        <v>58</v>
      </c>
      <c r="I34" s="19"/>
    </row>
    <row r="35" spans="2:9" s="20" customFormat="1" ht="33" customHeight="1" x14ac:dyDescent="0.2">
      <c r="B35" s="23">
        <f t="shared" si="0"/>
        <v>33</v>
      </c>
      <c r="C35" s="57" t="s">
        <v>185</v>
      </c>
      <c r="D35" s="56" t="s">
        <v>186</v>
      </c>
      <c r="E35" s="34" t="s">
        <v>187</v>
      </c>
      <c r="F35" s="69" t="s">
        <v>153</v>
      </c>
      <c r="G35" s="44" t="s">
        <v>104</v>
      </c>
      <c r="H35" s="23" t="s">
        <v>58</v>
      </c>
      <c r="I35" s="19"/>
    </row>
    <row r="36" spans="2:9" s="20" customFormat="1" ht="33" customHeight="1" x14ac:dyDescent="0.2">
      <c r="B36" s="23">
        <f t="shared" si="0"/>
        <v>34</v>
      </c>
      <c r="C36" s="57" t="s">
        <v>188</v>
      </c>
      <c r="D36" s="56" t="s">
        <v>189</v>
      </c>
      <c r="E36" s="34" t="s">
        <v>182</v>
      </c>
      <c r="F36" s="69" t="s">
        <v>153</v>
      </c>
      <c r="G36" s="44" t="s">
        <v>104</v>
      </c>
      <c r="H36" s="23" t="s">
        <v>58</v>
      </c>
      <c r="I36" s="19"/>
    </row>
    <row r="37" spans="2:9" s="20" customFormat="1" ht="33" customHeight="1" x14ac:dyDescent="0.2">
      <c r="B37" s="23">
        <f t="shared" si="0"/>
        <v>35</v>
      </c>
      <c r="C37" s="57" t="s">
        <v>190</v>
      </c>
      <c r="D37" s="56" t="s">
        <v>191</v>
      </c>
      <c r="E37" s="34" t="s">
        <v>182</v>
      </c>
      <c r="F37" s="69" t="s">
        <v>153</v>
      </c>
      <c r="G37" s="44" t="s">
        <v>104</v>
      </c>
      <c r="H37" s="23" t="s">
        <v>58</v>
      </c>
      <c r="I37" s="19"/>
    </row>
    <row r="38" spans="2:9" s="20" customFormat="1" ht="33" customHeight="1" x14ac:dyDescent="0.2">
      <c r="B38" s="23">
        <f t="shared" si="0"/>
        <v>36</v>
      </c>
      <c r="C38" s="57" t="s">
        <v>192</v>
      </c>
      <c r="D38" s="56" t="s">
        <v>193</v>
      </c>
      <c r="E38" s="34" t="s">
        <v>194</v>
      </c>
      <c r="F38" s="69" t="s">
        <v>195</v>
      </c>
      <c r="G38" s="44" t="s">
        <v>105</v>
      </c>
      <c r="H38" s="23" t="s">
        <v>58</v>
      </c>
      <c r="I38" s="19"/>
    </row>
    <row r="39" spans="2:9" s="20" customFormat="1" ht="33" customHeight="1" x14ac:dyDescent="0.2">
      <c r="B39" s="23">
        <f t="shared" si="0"/>
        <v>37</v>
      </c>
      <c r="C39" s="57" t="s">
        <v>196</v>
      </c>
      <c r="D39" s="56" t="s">
        <v>197</v>
      </c>
      <c r="E39" s="34" t="s">
        <v>198</v>
      </c>
      <c r="F39" s="69" t="s">
        <v>199</v>
      </c>
      <c r="G39" s="44" t="s">
        <v>105</v>
      </c>
      <c r="H39" s="23" t="s">
        <v>58</v>
      </c>
      <c r="I39" s="19"/>
    </row>
    <row r="40" spans="2:9" s="20" customFormat="1" ht="33" customHeight="1" x14ac:dyDescent="0.2">
      <c r="B40" s="23">
        <f t="shared" si="0"/>
        <v>38</v>
      </c>
      <c r="C40" s="57" t="s">
        <v>200</v>
      </c>
      <c r="D40" s="56" t="s">
        <v>201</v>
      </c>
      <c r="E40" s="34" t="s">
        <v>202</v>
      </c>
      <c r="F40" s="69" t="s">
        <v>203</v>
      </c>
      <c r="G40" s="44" t="s">
        <v>110</v>
      </c>
      <c r="H40" s="23" t="s">
        <v>58</v>
      </c>
      <c r="I40" s="19"/>
    </row>
    <row r="41" spans="2:9" s="20" customFormat="1" ht="33" customHeight="1" x14ac:dyDescent="0.2">
      <c r="B41" s="23">
        <f t="shared" si="0"/>
        <v>39</v>
      </c>
      <c r="C41" s="57" t="s">
        <v>204</v>
      </c>
      <c r="D41" s="56" t="s">
        <v>205</v>
      </c>
      <c r="E41" s="34" t="s">
        <v>206</v>
      </c>
      <c r="F41" s="69" t="s">
        <v>203</v>
      </c>
      <c r="G41" s="44" t="s">
        <v>110</v>
      </c>
      <c r="H41" s="23" t="s">
        <v>58</v>
      </c>
      <c r="I41" s="19"/>
    </row>
    <row r="42" spans="2:9" s="20" customFormat="1" ht="33" customHeight="1" x14ac:dyDescent="0.2">
      <c r="B42" s="23">
        <f t="shared" si="0"/>
        <v>40</v>
      </c>
      <c r="C42" s="57" t="s">
        <v>207</v>
      </c>
      <c r="D42" s="56" t="s">
        <v>208</v>
      </c>
      <c r="E42" s="34" t="s">
        <v>202</v>
      </c>
      <c r="F42" s="69" t="s">
        <v>203</v>
      </c>
      <c r="G42" s="44" t="s">
        <v>110</v>
      </c>
      <c r="H42" s="23" t="s">
        <v>58</v>
      </c>
      <c r="I42" s="19"/>
    </row>
    <row r="43" spans="2:9" s="20" customFormat="1" ht="33" customHeight="1" x14ac:dyDescent="0.2">
      <c r="B43" s="23">
        <f t="shared" si="0"/>
        <v>41</v>
      </c>
      <c r="C43" s="57" t="s">
        <v>209</v>
      </c>
      <c r="D43" s="56" t="s">
        <v>210</v>
      </c>
      <c r="E43" s="34" t="s">
        <v>211</v>
      </c>
      <c r="F43" s="69" t="s">
        <v>212</v>
      </c>
      <c r="G43" s="44" t="s">
        <v>112</v>
      </c>
      <c r="H43" s="23" t="s">
        <v>58</v>
      </c>
      <c r="I43" s="19"/>
    </row>
    <row r="44" spans="2:9" s="20" customFormat="1" ht="33" customHeight="1" x14ac:dyDescent="0.2">
      <c r="B44" s="23">
        <f t="shared" si="0"/>
        <v>42</v>
      </c>
      <c r="C44" s="57" t="s">
        <v>218</v>
      </c>
      <c r="D44" s="56" t="s">
        <v>219</v>
      </c>
      <c r="E44" s="34" t="s">
        <v>220</v>
      </c>
      <c r="F44" s="69" t="s">
        <v>221</v>
      </c>
      <c r="G44" s="44" t="s">
        <v>217</v>
      </c>
      <c r="H44" s="23" t="s">
        <v>58</v>
      </c>
      <c r="I44" s="19"/>
    </row>
    <row r="45" spans="2:9" ht="33" customHeight="1" x14ac:dyDescent="0.2">
      <c r="B45" s="23">
        <f t="shared" si="0"/>
        <v>43</v>
      </c>
      <c r="C45" s="33" t="s">
        <v>59</v>
      </c>
      <c r="D45" s="34" t="s">
        <v>60</v>
      </c>
      <c r="E45" s="34" t="s">
        <v>61</v>
      </c>
      <c r="F45" s="34" t="s">
        <v>62</v>
      </c>
      <c r="G45" s="35" t="s">
        <v>63</v>
      </c>
      <c r="H45" s="23" t="s">
        <v>58</v>
      </c>
      <c r="I45" s="19"/>
    </row>
    <row r="46" spans="2:9" ht="33" customHeight="1" x14ac:dyDescent="0.2">
      <c r="B46" s="23">
        <f t="shared" si="0"/>
        <v>44</v>
      </c>
      <c r="C46" s="33" t="s">
        <v>64</v>
      </c>
      <c r="D46" s="34" t="s">
        <v>65</v>
      </c>
      <c r="E46" s="34" t="s">
        <v>66</v>
      </c>
      <c r="F46" s="34" t="s">
        <v>67</v>
      </c>
      <c r="G46" s="35" t="s">
        <v>68</v>
      </c>
      <c r="H46" s="23" t="s">
        <v>58</v>
      </c>
      <c r="I46" s="19"/>
    </row>
    <row r="47" spans="2:9" ht="33" customHeight="1" x14ac:dyDescent="0.2">
      <c r="B47" s="23">
        <f t="shared" si="0"/>
        <v>45</v>
      </c>
      <c r="C47" s="33" t="s">
        <v>69</v>
      </c>
      <c r="D47" s="34" t="s">
        <v>70</v>
      </c>
      <c r="E47" s="34" t="s">
        <v>71</v>
      </c>
      <c r="F47" s="34" t="s">
        <v>72</v>
      </c>
      <c r="G47" s="35" t="s">
        <v>73</v>
      </c>
      <c r="H47" s="23" t="s">
        <v>58</v>
      </c>
      <c r="I47" s="19"/>
    </row>
    <row r="48" spans="2:9" ht="33" customHeight="1" x14ac:dyDescent="0.2">
      <c r="B48" s="23">
        <f t="shared" si="0"/>
        <v>46</v>
      </c>
      <c r="C48" s="36" t="s">
        <v>74</v>
      </c>
      <c r="D48" s="37" t="s">
        <v>75</v>
      </c>
      <c r="E48" s="37" t="s">
        <v>71</v>
      </c>
      <c r="F48" s="37" t="s">
        <v>72</v>
      </c>
      <c r="G48" s="38" t="s">
        <v>73</v>
      </c>
      <c r="H48" s="23" t="s">
        <v>58</v>
      </c>
      <c r="I48" s="19"/>
    </row>
  </sheetData>
  <autoFilter ref="B2:H48" xr:uid="{4F8F6AED-3E8B-47E6-9425-862703BF6A95}"/>
  <printOptions horizontalCentered="1"/>
  <pageMargins left="0.70866141732283472" right="0.70866141732283472" top="0.74803149606299213" bottom="0.74803149606299213" header="0.31496062992125984" footer="0.31496062992125984"/>
  <pageSetup paperSize="9" scale="32" orientation="landscape" r:id="rId1"/>
  <headerFooter>
    <oddFooter>&amp;L&amp;"Times New Roman,Regular"&amp;10&amp;B&amp;K00BFFFNOIBO</oddFooter>
    <evenFooter>&amp;L&amp;"Times New Roman,Regular"&amp;10&amp;B&amp;K00BFFFNOIBO</evenFooter>
    <firstFooter>&amp;L&amp;"Times New Roman,Regular"&amp;10&amp;B&amp;K00BFFFNOIBO</first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c64a343-b788-4b17-b2c2-e776df535f20">
      <Terms xmlns="http://schemas.microsoft.com/office/infopath/2007/PartnerControls"/>
    </lcf76f155ced4ddcb4097134ff3c332f>
    <TaxCatchAll xmlns="544f560e-4adb-4526-8166-44019e0eaaf4" xsi:nil="true"/>
  </documentManagement>
</p:properties>
</file>

<file path=customXml/item2.xml><?xml version="1.0" encoding="utf-8"?>
<sisl xmlns:xsd="http://www.w3.org/2001/XMLSchema" xmlns:xsi="http://www.w3.org/2001/XMLSchema-instance" xmlns="http://www.boldonjames.com/2008/01/sie/internal/label" sislVersion="0" policy="ee7d2db8-e84f-4c9c-a400-da572860bdfa" origin="userSelected">
  <element uid="id_classification_internalonly" value=""/>
</sisl>
</file>

<file path=customXml/item3.xml><?xml version="1.0" encoding="utf-8"?>
<ct:contentTypeSchema xmlns:ct="http://schemas.microsoft.com/office/2006/metadata/contentType" xmlns:ma="http://schemas.microsoft.com/office/2006/metadata/properties/metaAttributes" ct:_="" ma:_="" ma:contentTypeName="Document" ma:contentTypeID="0x0101009A48A5B1828608418B7B507E2DB27C0D" ma:contentTypeVersion="11" ma:contentTypeDescription="Create a new document." ma:contentTypeScope="" ma:versionID="0268f89632190ca5aff690807fdecfff">
  <xsd:schema xmlns:xsd="http://www.w3.org/2001/XMLSchema" xmlns:xs="http://www.w3.org/2001/XMLSchema" xmlns:p="http://schemas.microsoft.com/office/2006/metadata/properties" xmlns:ns2="ec64a343-b788-4b17-b2c2-e776df535f20" xmlns:ns3="544f560e-4adb-4526-8166-44019e0eaaf4" targetNamespace="http://schemas.microsoft.com/office/2006/metadata/properties" ma:root="true" ma:fieldsID="20f100a7b4b07c6a23371445809b65e2" ns2:_="" ns3:_="">
    <xsd:import namespace="ec64a343-b788-4b17-b2c2-e776df535f20"/>
    <xsd:import namespace="544f560e-4adb-4526-8166-44019e0eaa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64a343-b788-4b17-b2c2-e776df535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313260f-ff37-4bab-be51-5c4a7795399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4f560e-4adb-4526-8166-44019e0eaaf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95ba6f8-66e4-4f9c-b1d6-82907046080d}" ma:internalName="TaxCatchAll" ma:showField="CatchAllData" ma:web="544f560e-4adb-4526-8166-44019e0eaa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9A2285-3DDF-40D8-90B5-38AF025CE414}">
  <ds:schemaRefs>
    <ds:schemaRef ds:uri="http://schemas.microsoft.com/office/2006/documentManagement/types"/>
    <ds:schemaRef ds:uri="ec64a343-b788-4b17-b2c2-e776df535f20"/>
    <ds:schemaRef ds:uri="http://purl.org/dc/terms/"/>
    <ds:schemaRef ds:uri="http://schemas.microsoft.com/office/infopath/2007/PartnerControls"/>
    <ds:schemaRef ds:uri="http://www.w3.org/XML/1998/namespace"/>
    <ds:schemaRef ds:uri="http://schemas.microsoft.com/office/2006/metadata/properties"/>
    <ds:schemaRef ds:uri="http://purl.org/dc/elements/1.1/"/>
    <ds:schemaRef ds:uri="http://purl.org/dc/dcmitype/"/>
    <ds:schemaRef ds:uri="http://schemas.openxmlformats.org/package/2006/metadata/core-properties"/>
    <ds:schemaRef ds:uri="544f560e-4adb-4526-8166-44019e0eaaf4"/>
  </ds:schemaRefs>
</ds:datastoreItem>
</file>

<file path=customXml/itemProps2.xml><?xml version="1.0" encoding="utf-8"?>
<ds:datastoreItem xmlns:ds="http://schemas.openxmlformats.org/officeDocument/2006/customXml" ds:itemID="{4D157F8D-787B-4DC1-989E-B6FF3A0947FA}">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2C0EA042-6340-4646-9485-1B64F124E2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64a343-b788-4b17-b2c2-e776df535f20"/>
    <ds:schemaRef ds:uri="544f560e-4adb-4526-8166-44019e0eaa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CA998AB-1F69-4365-A7DB-0EDA78C344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Cover</vt:lpstr>
      <vt:lpstr>Change history</vt:lpstr>
      <vt:lpstr>Group User</vt:lpstr>
      <vt:lpstr>Permission Detail</vt:lpstr>
      <vt:lpstr>Report_permission</vt:lpstr>
      <vt:lpstr>List_Roles</vt:lpstr>
      <vt:lpstr>List User_Group User</vt:lpstr>
      <vt:lpstr>Cover!Print_Area</vt:lpstr>
      <vt:lpstr>'Change history'!Print_Area</vt:lpstr>
      <vt:lpstr>'Group User'!Print_Area</vt:lpstr>
      <vt:lpstr>'List User_Group User'!Print_Area</vt:lpstr>
      <vt:lpstr>'Permission Detail'!Print_Area</vt:lpstr>
      <vt:lpstr>Report_permission!Print_Area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TRUNG_NGUYEN</dc:creator>
  <cp:keywords>NOIBO</cp:keywords>
  <dc:description/>
  <cp:lastModifiedBy>Phi Thi Phuong 1 (HO-VH)</cp:lastModifiedBy>
  <cp:revision/>
  <cp:lastPrinted>2026-09-25T08:24:49Z</cp:lastPrinted>
  <dcterms:created xsi:type="dcterms:W3CDTF">2022-12-07T02:34:23Z</dcterms:created>
  <dcterms:modified xsi:type="dcterms:W3CDTF">2026-09-25T08:38:48Z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LabelXML">
    <vt:lpwstr>&lt;?xml version="1.0" encoding="us-ascii"?&gt;&lt;sisl xmlns:xsd="http://www.w3.org/2001/XMLSchema" xmlns:xsi="http://www.w3.org/2001/XMLSchema-instance" sislVersion="0" policy="ee7d2db8-e84f-4c9c-a400-da572860bdfa" origin="userSelected" xmlns="http://www.boldonj</vt:lpwstr>
  </property>
  <property fmtid="{D5CDD505-2E9C-101B-9397-08002B2CF9AE}" pid="3" name="bjDocumentLabelXML-0">
    <vt:lpwstr>ames.com/2008/01/sie/internal/label"&gt;&lt;element uid="id_classification_internalonly" value="" /&gt;&lt;/sisl&gt;</vt:lpwstr>
  </property>
  <property fmtid="{D5CDD505-2E9C-101B-9397-08002B2CF9AE}" pid="4" name="docIndexRef">
    <vt:lpwstr>bf81d95e-627c-4feb-8823-1b7c99d93256</vt:lpwstr>
  </property>
  <property fmtid="{D5CDD505-2E9C-101B-9397-08002B2CF9AE}" pid="5" name="bjClsUserRVM">
    <vt:lpwstr>[]</vt:lpwstr>
  </property>
  <property fmtid="{D5CDD505-2E9C-101B-9397-08002B2CF9AE}" pid="6" name="bjLeftFooterLabel-first">
    <vt:lpwstr>&amp;"Times New Roman,Regular"&amp;10&amp;B&amp;K00BFFFNOIBO</vt:lpwstr>
  </property>
  <property fmtid="{D5CDD505-2E9C-101B-9397-08002B2CF9AE}" pid="7" name="bjLeftFooterLabel-even">
    <vt:lpwstr>&amp;"Times New Roman,Regular"&amp;10&amp;B&amp;K00BFFFNOIBO</vt:lpwstr>
  </property>
  <property fmtid="{D5CDD505-2E9C-101B-9397-08002B2CF9AE}" pid="8" name="bjLeftFooterLabel">
    <vt:lpwstr>&amp;"Times New Roman,Regular"&amp;10&amp;B&amp;K00BFFFNOIBO</vt:lpwstr>
  </property>
  <property fmtid="{D5CDD505-2E9C-101B-9397-08002B2CF9AE}" pid="9" name="bjDocumentSecurityLabel">
    <vt:lpwstr>NOIBO</vt:lpwstr>
  </property>
  <property fmtid="{D5CDD505-2E9C-101B-9397-08002B2CF9AE}" pid="10" name="bjSaver">
    <vt:lpwstr>yphg0dxyZYv6uvwum0P1/GyFd/kTvNz0</vt:lpwstr>
  </property>
  <property fmtid="{D5CDD505-2E9C-101B-9397-08002B2CF9AE}" pid="11" name="ContentTypeId">
    <vt:lpwstr>0x0101009A48A5B1828608418B7B507E2DB27C0D</vt:lpwstr>
  </property>
  <property fmtid="{D5CDD505-2E9C-101B-9397-08002B2CF9AE}" pid="12" name="MediaServiceImageTags">
    <vt:lpwstr/>
  </property>
</Properties>
</file>